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LL\Teaching\French\Students\Nga\"/>
    </mc:Choice>
  </mc:AlternateContent>
  <xr:revisionPtr revIDLastSave="0" documentId="13_ncr:1_{23021DC2-75A7-4798-8E99-74AC39A203B4}" xr6:coauthVersionLast="47" xr6:coauthVersionMax="47" xr10:uidLastSave="{00000000-0000-0000-0000-000000000000}"/>
  <bookViews>
    <workbookView xWindow="-28920" yWindow="-120" windowWidth="29040" windowHeight="15840" activeTab="8" xr2:uid="{AC96D9F4-C58E-4FBF-BCB5-A06BDEBB24A0}"/>
  </bookViews>
  <sheets>
    <sheet name="S1" sheetId="5" r:id="rId1"/>
    <sheet name="S2" sheetId="4" r:id="rId2"/>
    <sheet name="S3" sheetId="6" r:id="rId3"/>
    <sheet name="S4^" sheetId="7" r:id="rId4"/>
    <sheet name="S5" sheetId="8" r:id="rId5"/>
    <sheet name="S6" sheetId="11" r:id="rId6"/>
    <sheet name="S7" sheetId="14" r:id="rId7"/>
    <sheet name="S8" sheetId="16" r:id="rId8"/>
    <sheet name="S9" sheetId="17" r:id="rId9"/>
    <sheet name="S10" sheetId="18" r:id="rId10"/>
    <sheet name="Tests" sheetId="3" r:id="rId11"/>
    <sheet name="Anki" sheetId="9" r:id="rId12"/>
    <sheet name="Pivot_trial" sheetId="15" r:id="rId13"/>
    <sheet name="CSV trial" sheetId="19" r:id="rId14"/>
    <sheet name="NEXT" sheetId="21" r:id="rId15"/>
  </sheets>
  <externalReferences>
    <externalReference r:id="rId16"/>
  </externalReferences>
  <definedNames>
    <definedName name="_xlnm._FilterDatabase" localSheetId="10" hidden="1">Tests!#REF!</definedName>
    <definedName name="Slicer_c">#N/A</definedName>
  </definedNames>
  <calcPr calcId="191029"/>
  <pivotCaches>
    <pivotCache cacheId="1"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7" i="9" l="1"/>
  <c r="I147" i="9" s="1"/>
  <c r="J147" i="9"/>
  <c r="A2" i="19"/>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 i="19"/>
  <c r="B56" i="18"/>
  <c r="F52" i="18"/>
  <c r="G52" i="18"/>
  <c r="F53" i="18"/>
  <c r="G53" i="18"/>
  <c r="F54" i="18"/>
  <c r="G54" i="18"/>
  <c r="F55" i="18"/>
  <c r="G55" i="18"/>
  <c r="G51" i="18"/>
  <c r="F51" i="18"/>
  <c r="G50" i="18"/>
  <c r="F50" i="18"/>
  <c r="G49" i="18"/>
  <c r="F49" i="18"/>
  <c r="G48" i="18"/>
  <c r="F48" i="18"/>
  <c r="G47" i="18"/>
  <c r="F47" i="18"/>
  <c r="G46" i="18"/>
  <c r="F46" i="18"/>
  <c r="G45" i="18"/>
  <c r="F45" i="18"/>
  <c r="G44" i="18"/>
  <c r="F44" i="18"/>
  <c r="G43" i="18"/>
  <c r="F43" i="18"/>
  <c r="G42" i="18"/>
  <c r="F42" i="18"/>
  <c r="G41" i="18"/>
  <c r="F41" i="18"/>
  <c r="G40" i="18"/>
  <c r="F40" i="18"/>
  <c r="G39" i="18"/>
  <c r="F39" i="18"/>
  <c r="G38" i="18"/>
  <c r="F38" i="18"/>
  <c r="G37" i="18"/>
  <c r="F37" i="18"/>
  <c r="G36" i="18"/>
  <c r="F36" i="18"/>
  <c r="G35" i="18"/>
  <c r="F35" i="18"/>
  <c r="G34" i="18"/>
  <c r="F34" i="18"/>
  <c r="G33" i="18"/>
  <c r="F33" i="18"/>
  <c r="G32" i="18"/>
  <c r="F32" i="18"/>
  <c r="G31" i="18"/>
  <c r="F31" i="18"/>
  <c r="G30" i="18"/>
  <c r="F30" i="18"/>
  <c r="G29" i="18"/>
  <c r="F29" i="18"/>
  <c r="G28" i="18"/>
  <c r="F28" i="18"/>
  <c r="G27" i="18"/>
  <c r="F27" i="18"/>
  <c r="G26" i="18"/>
  <c r="F26" i="18"/>
  <c r="G25" i="18"/>
  <c r="F25" i="18"/>
  <c r="G24" i="18"/>
  <c r="F24" i="18"/>
  <c r="G23" i="18"/>
  <c r="F23" i="18"/>
  <c r="G22" i="18"/>
  <c r="F22" i="18"/>
  <c r="G21" i="18"/>
  <c r="F21" i="18"/>
  <c r="G20" i="18"/>
  <c r="F20" i="18"/>
  <c r="G19" i="18"/>
  <c r="F19" i="18"/>
  <c r="G18" i="18"/>
  <c r="F18" i="18"/>
  <c r="G17" i="18"/>
  <c r="F17" i="18"/>
  <c r="G16" i="18"/>
  <c r="F16" i="18"/>
  <c r="H40"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 i="17"/>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2" i="9"/>
  <c r="H126" i="9"/>
  <c r="I126" i="9" s="1"/>
  <c r="G40" i="17"/>
  <c r="G39" i="17"/>
  <c r="G38" i="17"/>
  <c r="G37" i="17"/>
  <c r="G36" i="17"/>
  <c r="G35" i="17"/>
  <c r="G34" i="17"/>
  <c r="G33" i="17"/>
  <c r="G32" i="17"/>
  <c r="G31" i="17"/>
  <c r="G30" i="17"/>
  <c r="G29" i="17"/>
  <c r="G28" i="17"/>
  <c r="G27" i="17"/>
  <c r="G26" i="17"/>
  <c r="G25" i="17"/>
  <c r="G24" i="17"/>
  <c r="G23" i="17"/>
  <c r="G22" i="17"/>
  <c r="G21" i="17"/>
  <c r="H127" i="9" l="1"/>
  <c r="G12" i="17"/>
  <c r="G13" i="17"/>
  <c r="G14" i="17"/>
  <c r="G15" i="17"/>
  <c r="G16" i="17"/>
  <c r="G17" i="17"/>
  <c r="G18" i="17"/>
  <c r="G19" i="17"/>
  <c r="G20" i="17"/>
  <c r="H128" i="9" l="1"/>
  <c r="I127" i="9"/>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9" i="16"/>
  <c r="H8" i="16"/>
  <c r="H7" i="16"/>
  <c r="H6" i="16"/>
  <c r="H5" i="16"/>
  <c r="H4" i="16"/>
  <c r="H3" i="16"/>
  <c r="H2" i="16"/>
  <c r="H10"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4" i="16"/>
  <c r="G3" i="16"/>
  <c r="G2" i="16"/>
  <c r="G5" i="16"/>
  <c r="H3" i="17"/>
  <c r="H2" i="17"/>
  <c r="G11" i="17"/>
  <c r="G10" i="17"/>
  <c r="G9" i="17"/>
  <c r="G8" i="17"/>
  <c r="G7" i="17"/>
  <c r="G6" i="17"/>
  <c r="G5" i="17"/>
  <c r="G4" i="17"/>
  <c r="G3" i="17"/>
  <c r="G2" i="17"/>
  <c r="H129" i="9" l="1"/>
  <c r="I128" i="9"/>
  <c r="G25" i="14"/>
  <c r="H3" i="14"/>
  <c r="H25" i="14"/>
  <c r="H130" i="9" l="1"/>
  <c r="I129" i="9"/>
  <c r="K2" i="3"/>
  <c r="F55" i="3"/>
  <c r="K55" i="3"/>
  <c r="K56" i="3" s="1"/>
  <c r="H131" i="9" l="1"/>
  <c r="I130" i="9"/>
  <c r="E55" i="3"/>
  <c r="E56" i="3"/>
  <c r="K57" i="3"/>
  <c r="H132" i="9" l="1"/>
  <c r="I131" i="9"/>
  <c r="K58" i="3"/>
  <c r="E57" i="3"/>
  <c r="H133" i="9" l="1"/>
  <c r="I132" i="9"/>
  <c r="K59" i="3"/>
  <c r="E58" i="3"/>
  <c r="H134" i="9" l="1"/>
  <c r="I133" i="9"/>
  <c r="E59" i="3"/>
  <c r="K60" i="3"/>
  <c r="H135" i="9" l="1"/>
  <c r="I134" i="9"/>
  <c r="E60" i="3"/>
  <c r="K61" i="3"/>
  <c r="H136" i="9" l="1"/>
  <c r="I135" i="9"/>
  <c r="K62" i="3"/>
  <c r="E61" i="3"/>
  <c r="H137" i="9" l="1"/>
  <c r="I136" i="9"/>
  <c r="K63" i="3"/>
  <c r="E62" i="3"/>
  <c r="H138" i="9" l="1"/>
  <c r="I137" i="9"/>
  <c r="K64" i="3"/>
  <c r="E63" i="3"/>
  <c r="H139" i="9" l="1"/>
  <c r="I138" i="9"/>
  <c r="E64" i="3"/>
  <c r="K65" i="3"/>
  <c r="H140" i="9" l="1"/>
  <c r="I139" i="9"/>
  <c r="K66" i="3"/>
  <c r="E65" i="3"/>
  <c r="H141" i="9" l="1"/>
  <c r="I140" i="9"/>
  <c r="K67" i="3"/>
  <c r="E66" i="3"/>
  <c r="H142" i="9" l="1"/>
  <c r="I141" i="9"/>
  <c r="E67" i="3"/>
  <c r="K71" i="3"/>
  <c r="H143" i="9" l="1"/>
  <c r="I142" i="9"/>
  <c r="K72" i="3"/>
  <c r="E72" i="3" s="1"/>
  <c r="E71" i="3"/>
  <c r="H144" i="9" l="1"/>
  <c r="I143" i="9"/>
  <c r="H24" i="14"/>
  <c r="G24" i="14"/>
  <c r="H23" i="14"/>
  <c r="G23" i="14"/>
  <c r="H22" i="14"/>
  <c r="G22" i="14"/>
  <c r="H21" i="14"/>
  <c r="G21" i="14"/>
  <c r="H20" i="14"/>
  <c r="G20" i="14"/>
  <c r="H19" i="14"/>
  <c r="G19" i="14"/>
  <c r="H18" i="14"/>
  <c r="G18" i="14"/>
  <c r="H17" i="14"/>
  <c r="G17" i="14"/>
  <c r="H16" i="14"/>
  <c r="G16" i="14"/>
  <c r="H15" i="14"/>
  <c r="G15" i="14"/>
  <c r="H14" i="14"/>
  <c r="G14" i="14"/>
  <c r="H13" i="14"/>
  <c r="G13" i="14"/>
  <c r="H12" i="14"/>
  <c r="G12" i="14"/>
  <c r="H11" i="14"/>
  <c r="G11" i="14"/>
  <c r="H10" i="14"/>
  <c r="G10" i="14"/>
  <c r="H9" i="14"/>
  <c r="G9" i="14"/>
  <c r="H8" i="14"/>
  <c r="G8" i="14"/>
  <c r="H7" i="14"/>
  <c r="G7" i="14"/>
  <c r="H6" i="14"/>
  <c r="G6" i="14"/>
  <c r="H5" i="14"/>
  <c r="G5" i="14"/>
  <c r="H4" i="14"/>
  <c r="G4" i="14"/>
  <c r="G3" i="14"/>
  <c r="H2" i="14"/>
  <c r="G2" i="14"/>
  <c r="H145" i="9" l="1"/>
  <c r="I144" i="9"/>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7" i="11"/>
  <c r="G7" i="11"/>
  <c r="H6" i="11"/>
  <c r="G6" i="11"/>
  <c r="H5" i="11"/>
  <c r="G5" i="11"/>
  <c r="H4" i="11"/>
  <c r="G4" i="11"/>
  <c r="H3" i="11"/>
  <c r="G3" i="11"/>
  <c r="G8" i="11"/>
  <c r="H8" i="11"/>
  <c r="H2" i="11"/>
  <c r="G2" i="11"/>
  <c r="H146" i="9" l="1"/>
  <c r="I146" i="9" s="1"/>
  <c r="I145" i="9"/>
  <c r="H33" i="8"/>
  <c r="G33" i="8"/>
  <c r="H32" i="8"/>
  <c r="G32" i="8"/>
  <c r="H31" i="8"/>
  <c r="G31" i="8"/>
  <c r="H30" i="8"/>
  <c r="G30" i="8"/>
  <c r="H29" i="8"/>
  <c r="G29" i="8"/>
  <c r="H28" i="8"/>
  <c r="G28" i="8"/>
  <c r="H27" i="8"/>
  <c r="G27" i="8"/>
  <c r="H26" i="8"/>
  <c r="G26" i="8"/>
  <c r="H25" i="8"/>
  <c r="G25" i="8"/>
  <c r="H24" i="8"/>
  <c r="G24" i="8"/>
  <c r="H23" i="8"/>
  <c r="G23" i="8"/>
  <c r="H22" i="8"/>
  <c r="G22" i="8"/>
  <c r="H21" i="8"/>
  <c r="G21" i="8"/>
  <c r="H20" i="8"/>
  <c r="G20" i="8"/>
  <c r="H19" i="8"/>
  <c r="G19" i="8"/>
  <c r="H18" i="8"/>
  <c r="G18" i="8"/>
  <c r="H17" i="8"/>
  <c r="G17" i="8"/>
  <c r="H16" i="8"/>
  <c r="G16" i="8"/>
  <c r="H15" i="8"/>
  <c r="G15" i="8"/>
  <c r="H14" i="8"/>
  <c r="G14" i="8"/>
  <c r="H13" i="8"/>
  <c r="G13" i="8"/>
  <c r="H12" i="8"/>
  <c r="G12" i="8"/>
  <c r="H11" i="8"/>
  <c r="G11" i="8"/>
  <c r="H10" i="8"/>
  <c r="G10" i="8"/>
  <c r="H9" i="8"/>
  <c r="G9" i="8"/>
  <c r="H8" i="8"/>
  <c r="G8" i="8"/>
  <c r="H7" i="8"/>
  <c r="G7" i="8"/>
  <c r="H6" i="8"/>
  <c r="G6" i="8"/>
  <c r="H5" i="8"/>
  <c r="G5" i="8"/>
  <c r="H4" i="8"/>
  <c r="G4" i="8"/>
  <c r="H3" i="8"/>
  <c r="G3" i="8"/>
  <c r="H2" i="8"/>
  <c r="G2" i="8"/>
  <c r="H26" i="7" l="1"/>
  <c r="H25" i="7"/>
  <c r="H24" i="7"/>
  <c r="H23" i="7"/>
  <c r="H22" i="7"/>
  <c r="H21" i="7"/>
  <c r="H20" i="7"/>
  <c r="H19" i="7"/>
  <c r="H18" i="7"/>
  <c r="H17" i="7"/>
  <c r="H16" i="7"/>
  <c r="H15" i="7"/>
  <c r="H14" i="7"/>
  <c r="H13" i="7"/>
  <c r="H12" i="7"/>
  <c r="H11" i="7"/>
  <c r="H10" i="7"/>
  <c r="H9" i="7"/>
  <c r="H8" i="7"/>
  <c r="H7" i="7"/>
  <c r="H6" i="7"/>
  <c r="H5" i="7"/>
  <c r="H4" i="7"/>
  <c r="H3" i="7"/>
  <c r="H2" i="7"/>
  <c r="F22" i="6" l="1"/>
  <c r="F23" i="6"/>
  <c r="F24" i="6"/>
  <c r="G33" i="6"/>
  <c r="G34" i="6"/>
  <c r="G35" i="6"/>
  <c r="G36" i="6"/>
  <c r="G37" i="6"/>
  <c r="G38" i="6"/>
  <c r="F30" i="6"/>
  <c r="F31" i="6"/>
  <c r="F32" i="6"/>
  <c r="F33" i="6"/>
  <c r="F34" i="6"/>
  <c r="G2" i="7"/>
  <c r="G26" i="7"/>
  <c r="G25" i="7"/>
  <c r="G24" i="7"/>
  <c r="G23" i="7"/>
  <c r="G22" i="7"/>
  <c r="G21" i="7"/>
  <c r="G20" i="7"/>
  <c r="G19" i="7"/>
  <c r="G18" i="7"/>
  <c r="G17" i="7"/>
  <c r="G16" i="7"/>
  <c r="G15" i="7"/>
  <c r="G14" i="7"/>
  <c r="G13" i="7"/>
  <c r="G12" i="7"/>
  <c r="G11" i="7"/>
  <c r="G10" i="7"/>
  <c r="G9" i="7"/>
  <c r="G8" i="7"/>
  <c r="G7" i="7"/>
  <c r="G6" i="7"/>
  <c r="G5" i="7"/>
  <c r="G4" i="7"/>
  <c r="G3" i="7"/>
  <c r="F36" i="6"/>
  <c r="F37" i="6"/>
  <c r="F38" i="6"/>
  <c r="G31" i="6"/>
  <c r="F26" i="6"/>
  <c r="G26" i="6"/>
  <c r="G24" i="6"/>
  <c r="G22" i="6"/>
  <c r="F35" i="6"/>
  <c r="G32" i="6"/>
  <c r="G30" i="6"/>
  <c r="G29" i="6"/>
  <c r="F29" i="6"/>
  <c r="G28" i="6"/>
  <c r="F28" i="6"/>
  <c r="G27" i="6"/>
  <c r="F27" i="6"/>
  <c r="G25" i="6"/>
  <c r="F25" i="6"/>
  <c r="G23"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K12" i="3" l="1"/>
  <c r="K13" i="3" s="1"/>
  <c r="K14" i="3" s="1"/>
  <c r="K15" i="3" s="1"/>
  <c r="K16" i="3" s="1"/>
  <c r="K17" i="3" s="1"/>
  <c r="E7" i="4"/>
  <c r="F7" i="4"/>
  <c r="F3" i="3"/>
  <c r="F4" i="3" s="1"/>
  <c r="F5" i="3" s="1"/>
  <c r="F6" i="3" s="1"/>
  <c r="F7" i="3" s="1"/>
  <c r="F8" i="3" s="1"/>
  <c r="F9" i="3" s="1"/>
  <c r="F10" i="3" s="1"/>
  <c r="F11" i="3" s="1"/>
  <c r="F12" i="3" s="1"/>
  <c r="F13" i="3" s="1"/>
  <c r="F14" i="3" s="1"/>
  <c r="F15" i="3" s="1"/>
  <c r="F16" i="3" s="1"/>
  <c r="F17" i="3" s="1"/>
  <c r="F18" i="3" s="1"/>
  <c r="F19" i="3" s="1"/>
  <c r="F20" i="3" s="1"/>
  <c r="F21" i="3" s="1"/>
  <c r="F22" i="3" s="1"/>
  <c r="F23" i="3" s="1"/>
  <c r="F24" i="3" s="1"/>
  <c r="F25" i="3" s="1"/>
  <c r="F26" i="3" s="1"/>
  <c r="E32" i="5"/>
  <c r="D32" i="5"/>
  <c r="E31" i="5"/>
  <c r="D31" i="5"/>
  <c r="E30" i="5"/>
  <c r="D30" i="5"/>
  <c r="E29" i="5"/>
  <c r="D29" i="5"/>
  <c r="E28" i="5"/>
  <c r="D28" i="5"/>
  <c r="E27" i="5"/>
  <c r="D27" i="5"/>
  <c r="E26" i="5"/>
  <c r="D26" i="5"/>
  <c r="E25" i="5"/>
  <c r="D25" i="5"/>
  <c r="E24" i="5"/>
  <c r="D24" i="5"/>
  <c r="E23" i="5"/>
  <c r="D23" i="5"/>
  <c r="E22" i="5"/>
  <c r="D22" i="5"/>
  <c r="E21" i="5"/>
  <c r="D21" i="5"/>
  <c r="E20" i="5"/>
  <c r="D20" i="5"/>
  <c r="E19" i="5"/>
  <c r="D19" i="5"/>
  <c r="E18" i="5"/>
  <c r="D18" i="5"/>
  <c r="E17" i="5"/>
  <c r="D17" i="5"/>
  <c r="E16" i="5"/>
  <c r="D16" i="5"/>
  <c r="E15" i="5"/>
  <c r="D15" i="5"/>
  <c r="E14" i="5"/>
  <c r="D14" i="5"/>
  <c r="E13" i="5"/>
  <c r="D13" i="5"/>
  <c r="E12" i="5"/>
  <c r="D12" i="5"/>
  <c r="E11" i="5"/>
  <c r="D11" i="5"/>
  <c r="E10" i="5"/>
  <c r="D10" i="5"/>
  <c r="E9" i="5"/>
  <c r="D9" i="5"/>
  <c r="E8" i="5"/>
  <c r="D8" i="5"/>
  <c r="E7" i="5"/>
  <c r="D7" i="5"/>
  <c r="E6" i="5"/>
  <c r="D6" i="5"/>
  <c r="E5" i="5"/>
  <c r="D5" i="5"/>
  <c r="E4" i="5"/>
  <c r="D4" i="5"/>
  <c r="E3" i="5"/>
  <c r="D3" i="5"/>
  <c r="E2" i="5"/>
  <c r="D2" i="5"/>
  <c r="F2" i="4"/>
  <c r="F3" i="4"/>
  <c r="F4" i="4"/>
  <c r="F5" i="4"/>
  <c r="F6"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6" i="4"/>
  <c r="E5" i="4"/>
  <c r="E4" i="4"/>
  <c r="E3" i="4"/>
  <c r="E2" i="4"/>
  <c r="E2" i="3"/>
  <c r="K18" i="3" l="1"/>
  <c r="E17" i="3"/>
  <c r="E15" i="3"/>
  <c r="E13" i="3"/>
  <c r="E14" i="3"/>
  <c r="E16" i="3"/>
  <c r="E12" i="3"/>
  <c r="K3" i="3"/>
  <c r="E18" i="3" l="1"/>
  <c r="K19" i="3"/>
  <c r="K4" i="3"/>
  <c r="E3" i="3"/>
  <c r="E19" i="3" l="1"/>
  <c r="K20" i="3"/>
  <c r="K5" i="3"/>
  <c r="E4" i="3"/>
  <c r="K21" i="3" l="1"/>
  <c r="E20" i="3"/>
  <c r="K6" i="3"/>
  <c r="E5" i="3"/>
  <c r="E21" i="3" l="1"/>
  <c r="K22" i="3"/>
  <c r="K7" i="3"/>
  <c r="E6" i="3"/>
  <c r="K23" i="3" l="1"/>
  <c r="E22" i="3"/>
  <c r="K8" i="3"/>
  <c r="E7" i="3"/>
  <c r="K24" i="3" l="1"/>
  <c r="E23" i="3"/>
  <c r="K9" i="3"/>
  <c r="K10" i="3" s="1"/>
  <c r="K11" i="3" s="1"/>
  <c r="E8" i="3"/>
  <c r="K25" i="3" l="1"/>
  <c r="E24" i="3"/>
  <c r="E9" i="3"/>
  <c r="K26" i="3" l="1"/>
  <c r="E25" i="3"/>
  <c r="E11" i="3"/>
  <c r="E10" i="3"/>
  <c r="E26" i="3" l="1"/>
  <c r="K27" i="3"/>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alcChain>
</file>

<file path=xl/sharedStrings.xml><?xml version="1.0" encoding="utf-8"?>
<sst xmlns="http://schemas.openxmlformats.org/spreadsheetml/2006/main" count="1565" uniqueCount="930">
  <si>
    <t>confirmation</t>
  </si>
  <si>
    <t>Notes</t>
  </si>
  <si>
    <t>I have invited a friend</t>
  </si>
  <si>
    <t>j'ai</t>
  </si>
  <si>
    <t>invité</t>
  </si>
  <si>
    <t>j'ai invité</t>
  </si>
  <si>
    <t>un ami</t>
  </si>
  <si>
    <t>j'ai invité un ami</t>
  </si>
  <si>
    <t>you have to forget things</t>
  </si>
  <si>
    <t>tu as</t>
  </si>
  <si>
    <t>tu as invite</t>
  </si>
  <si>
    <t>tu as invite un ami</t>
  </si>
  <si>
    <t>tu as invite un ami?</t>
  </si>
  <si>
    <t>as-tu invite un ami?</t>
  </si>
  <si>
    <t>confirmer</t>
  </si>
  <si>
    <t>j'ai confirme</t>
  </si>
  <si>
    <t>le meeting</t>
  </si>
  <si>
    <t>introducing a lot, but will review a lot, don't worry they'll stick eventually</t>
  </si>
  <si>
    <t>pour toi</t>
  </si>
  <si>
    <t>j'ai prepare le café pour toi</t>
  </si>
  <si>
    <t>j'ai invité Ben</t>
  </si>
  <si>
    <t>j'ai confirme le meeting</t>
  </si>
  <si>
    <t>j'ai confirme le meeting avec Ben</t>
  </si>
  <si>
    <t>preparer</t>
  </si>
  <si>
    <t>le café</t>
  </si>
  <si>
    <t>j'ai prepare</t>
  </si>
  <si>
    <t>visiter</t>
  </si>
  <si>
    <t>j'ai visite</t>
  </si>
  <si>
    <t>Hanoi</t>
  </si>
  <si>
    <t>avec un ami</t>
  </si>
  <si>
    <t>j'ai visite Hanoi avec un ami</t>
  </si>
  <si>
    <t>tu as prepare le café pour moi?</t>
  </si>
  <si>
    <t>pour moi</t>
  </si>
  <si>
    <t>tu as prepare le café pour moi</t>
  </si>
  <si>
    <t>tu as visite Hanoi (avec un ami)?</t>
  </si>
  <si>
    <t>tu as prepare le meeting avec Ben?</t>
  </si>
  <si>
    <t>2/3 ways of forming questions</t>
  </si>
  <si>
    <t>une table</t>
  </si>
  <si>
    <t>j'ai reserve un table</t>
  </si>
  <si>
    <t>tu as reserve un table?</t>
  </si>
  <si>
    <t>il a reserve un table</t>
  </si>
  <si>
    <t>ton</t>
  </si>
  <si>
    <t>ton ami</t>
  </si>
  <si>
    <t>preparation</t>
  </si>
  <si>
    <t>track 4</t>
  </si>
  <si>
    <t xml:space="preserve">le the </t>
  </si>
  <si>
    <t>mon</t>
  </si>
  <si>
    <t>mon ami</t>
  </si>
  <si>
    <t>mon ami a prepare le café</t>
  </si>
  <si>
    <t>mon ami a visite Hanoi</t>
  </si>
  <si>
    <t>mon ami a visite Hanoi et mon chat a visite Taipei</t>
  </si>
  <si>
    <t>mon ami a prepare le café et mon chat a prepare le the</t>
  </si>
  <si>
    <t>il a prepare le café</t>
  </si>
  <si>
    <t>(13')</t>
  </si>
  <si>
    <t>track 7. -ion nouns coming from French, you already know 1000+</t>
  </si>
  <si>
    <t>-ation</t>
  </si>
  <si>
    <t>decoration</t>
  </si>
  <si>
    <t>Invitation</t>
  </si>
  <si>
    <t>-in/-un sulky sound</t>
  </si>
  <si>
    <t>even better, can make past tense from it by cutting -ation and add café é</t>
  </si>
  <si>
    <t>preparé</t>
  </si>
  <si>
    <t>careful with "j'ai" pronunciation</t>
  </si>
  <si>
    <t>figure out from noun</t>
  </si>
  <si>
    <t>3 tenses in one</t>
  </si>
  <si>
    <t>-able words for free!</t>
  </si>
  <si>
    <t>j'ai reservé</t>
  </si>
  <si>
    <t>j'ai reservé un table pour le diner</t>
  </si>
  <si>
    <t>reservé</t>
  </si>
  <si>
    <t>j'ai invite un ami au restaurant</t>
  </si>
  <si>
    <t>tu as invite ton ami au restaurant?</t>
  </si>
  <si>
    <t>FoR LuCK</t>
  </si>
  <si>
    <t>je voudrais</t>
  </si>
  <si>
    <t>je voudrais preparer</t>
  </si>
  <si>
    <t>je voudrais preparer le diner</t>
  </si>
  <si>
    <t>same "é"</t>
  </si>
  <si>
    <t>"I have hunger"</t>
  </si>
  <si>
    <t>j'ai faim</t>
  </si>
  <si>
    <t>parce que</t>
  </si>
  <si>
    <t>je voudrais preparer le diner + parce que j'ai faim</t>
  </si>
  <si>
    <t>soif</t>
  </si>
  <si>
    <t>j'ai soif</t>
  </si>
  <si>
    <t>je voudrais preparer le café parce que j'ai soif</t>
  </si>
  <si>
    <t>parce que j'ai soif</t>
  </si>
  <si>
    <t>Infinitive: cut ation and add er, same pronunciation. (track 9?)</t>
  </si>
  <si>
    <t>ex voudrais, soif</t>
  </si>
  <si>
    <t>m in faim nasal, not pronounced -&gt; FoR LuCK (general rule)</t>
  </si>
  <si>
    <t>it is. Still same sound as café e and -er</t>
  </si>
  <si>
    <t>from "person"</t>
  </si>
  <si>
    <t>c'est vs si</t>
  </si>
  <si>
    <t>reservation</t>
  </si>
  <si>
    <t>You have invited a friend</t>
  </si>
  <si>
    <t>Have you invited a friend? (inf., 2)</t>
  </si>
  <si>
    <t>Have you invited a friend? (inf., 1)</t>
  </si>
  <si>
    <t>I have confirmed the meeting with Ben</t>
  </si>
  <si>
    <t>I have visited Hanoi with a friend</t>
  </si>
  <si>
    <t>I have prepared coffee for you</t>
  </si>
  <si>
    <t>Have you prepared the coffee for me?</t>
  </si>
  <si>
    <t>Have you visited Hanoi with a friend?</t>
  </si>
  <si>
    <t>Have you prepared the meeting with Ben?</t>
  </si>
  <si>
    <t>J'ai invité un ami</t>
  </si>
  <si>
    <t>Tu as invité un ami</t>
  </si>
  <si>
    <t>As-tu invité un ami?</t>
  </si>
  <si>
    <t>Tu as invité un ami?</t>
  </si>
  <si>
    <t>J'ai confirmé le meeting avec Ben</t>
  </si>
  <si>
    <t>J'ai visité Hanoi avec un ami</t>
  </si>
  <si>
    <t>J'ai preparé le café pour toi</t>
  </si>
  <si>
    <t>Tu as preparé le café pour moi?</t>
  </si>
  <si>
    <t>Tu as visité Hanoi (avec un ami)?</t>
  </si>
  <si>
    <t>Tu as preparé le meeting avec Ben?</t>
  </si>
  <si>
    <t>Session #</t>
  </si>
  <si>
    <t>Date</t>
  </si>
  <si>
    <t>Test date</t>
  </si>
  <si>
    <t>Sentence #</t>
  </si>
  <si>
    <t>Sentence code</t>
  </si>
  <si>
    <t>Result</t>
  </si>
  <si>
    <t>easy</t>
  </si>
  <si>
    <t>slow or partial</t>
  </si>
  <si>
    <t>forgotten</t>
  </si>
  <si>
    <t>Français</t>
  </si>
  <si>
    <t>English</t>
  </si>
  <si>
    <t>Results code</t>
  </si>
  <si>
    <t>Fr</t>
  </si>
  <si>
    <t>Keep</t>
  </si>
  <si>
    <t>Cumulative</t>
  </si>
  <si>
    <t>x</t>
  </si>
  <si>
    <t>Sentences for Anki</t>
  </si>
  <si>
    <t>Total sentences</t>
  </si>
  <si>
    <t>Score</t>
  </si>
  <si>
    <t>tu</t>
  </si>
  <si>
    <t>elle a reserve un table</t>
  </si>
  <si>
    <t>New Item</t>
  </si>
  <si>
    <t>pos1</t>
  </si>
  <si>
    <t>3ps pp have</t>
  </si>
  <si>
    <t>pos 2s</t>
  </si>
  <si>
    <t>chien</t>
  </si>
  <si>
    <t>mon chien a visite Taipei</t>
  </si>
  <si>
    <t>mon chien</t>
  </si>
  <si>
    <t>et</t>
  </si>
  <si>
    <t>Have you booked (reserved) a table for dinner</t>
  </si>
  <si>
    <t>I have booked (reserved) a table for two</t>
  </si>
  <si>
    <t>He has booked (reserved) a table</t>
  </si>
  <si>
    <t>She has booked (reserved) a table</t>
  </si>
  <si>
    <t>My friend has prepared the coffee for me</t>
  </si>
  <si>
    <t>Preparation</t>
  </si>
  <si>
    <t>Reservation</t>
  </si>
  <si>
    <t>Decoration</t>
  </si>
  <si>
    <t>Confirmation</t>
  </si>
  <si>
    <t>I have invited a friend to the restaurant</t>
  </si>
  <si>
    <t>I would like to invite a friend</t>
  </si>
  <si>
    <t>Je voudrais inviter un ami</t>
  </si>
  <si>
    <t>Mon ami a preparé le café pour moi</t>
  </si>
  <si>
    <t>Mon ami a visité Hanoi et mon chat a visité Taipei</t>
  </si>
  <si>
    <t>Préparation</t>
  </si>
  <si>
    <t>Réservation</t>
  </si>
  <si>
    <t>Décoration</t>
  </si>
  <si>
    <t>J'ai invité un ami au restaurant</t>
  </si>
  <si>
    <t>Je voudrais preparer le diner parce que j'ai faim</t>
  </si>
  <si>
    <t>Je voudrais preparer le café parce que j'ai soif</t>
  </si>
  <si>
    <t>I would like to prepare the coffee because I'm thirsty</t>
  </si>
  <si>
    <t>I would like to prepare the dinner because I'm hungry</t>
  </si>
  <si>
    <t>J'ai réservé une table pour deux</t>
  </si>
  <si>
    <t>Tu as réservé une table pour le diner?</t>
  </si>
  <si>
    <t>Il a réservé une table</t>
  </si>
  <si>
    <t>Elle a réservé une table</t>
  </si>
  <si>
    <t>Préparer</t>
  </si>
  <si>
    <t>Type</t>
  </si>
  <si>
    <t>P</t>
  </si>
  <si>
    <t>LV</t>
  </si>
  <si>
    <t>Une personne</t>
  </si>
  <si>
    <t>Deux</t>
  </si>
  <si>
    <t>Deux personnes</t>
  </si>
  <si>
    <t>PE</t>
  </si>
  <si>
    <t>C'est</t>
  </si>
  <si>
    <t>V</t>
  </si>
  <si>
    <t>Romantic</t>
  </si>
  <si>
    <t>Pratique</t>
  </si>
  <si>
    <t>achievement #1</t>
  </si>
  <si>
    <t>clips or medley</t>
  </si>
  <si>
    <t>Je voudrais réserver une table pour ce soir pour deux personnes</t>
  </si>
  <si>
    <t>J'ai réservé une table pour ce soir pour deux personnes</t>
  </si>
  <si>
    <t>plural &amp; politness</t>
  </si>
  <si>
    <t>Parce que</t>
  </si>
  <si>
    <t>PC</t>
  </si>
  <si>
    <t>Typique</t>
  </si>
  <si>
    <t>Exotic</t>
  </si>
  <si>
    <t>Politique</t>
  </si>
  <si>
    <t>Je voudrais visiter Paris parce que c'est exotique</t>
  </si>
  <si>
    <t>Aller</t>
  </si>
  <si>
    <t>Je voudrais aller a Paris, est-ce que c'est pratique?</t>
  </si>
  <si>
    <t>Est-ce que c'est pratique?</t>
  </si>
  <si>
    <t>(3)</t>
  </si>
  <si>
    <t>Voulez-vous visiter Hanoi?</t>
  </si>
  <si>
    <t>Voulez-vous</t>
  </si>
  <si>
    <t>Vous</t>
  </si>
  <si>
    <t>Est-ce que tu as preparé le café pour moi?</t>
  </si>
  <si>
    <t>Est-ce que tu as confirmé le meeting avec Jean?</t>
  </si>
  <si>
    <t>Jean</t>
  </si>
  <si>
    <t>Je voudrais aller a Paris</t>
  </si>
  <si>
    <t>Savoir</t>
  </si>
  <si>
    <t>Je voudrais savoir</t>
  </si>
  <si>
    <t>Si</t>
  </si>
  <si>
    <t>Je voudrais savoir si c'est pratique</t>
  </si>
  <si>
    <t>Mais</t>
  </si>
  <si>
    <t xml:space="preserve">track 12 ~42'. -ic &amp; -cal -&gt;  -ique. Logique. </t>
  </si>
  <si>
    <t>C</t>
  </si>
  <si>
    <t>Je voudrais savoir si c'est typique</t>
  </si>
  <si>
    <t>Voulez-vous reserver un table? Oui, mais je voudrais savoir si c'est pratique</t>
  </si>
  <si>
    <t>Est-ce que vous voulez reserver un table? Oui, mais je voudrais savoir si c'est pratique</t>
  </si>
  <si>
    <t xml:space="preserve">Est-ce que vous voulez reserver un table? </t>
  </si>
  <si>
    <t>Vous voulez</t>
  </si>
  <si>
    <t>Ce n'est pas</t>
  </si>
  <si>
    <t>Non, c'est pas pratique</t>
  </si>
  <si>
    <t>C'est pas</t>
  </si>
  <si>
    <t>Je voudrais allez a Paris, mais c'est pas pratique</t>
  </si>
  <si>
    <t>Pourquoi?</t>
  </si>
  <si>
    <t>"For what"</t>
  </si>
  <si>
    <t>Pourquoi c'est pas pratique?</t>
  </si>
  <si>
    <t>Je voudrais savoir pourquoi c'est pas pratique</t>
  </si>
  <si>
    <t>Pourquoi tu as preparé le diné?</t>
  </si>
  <si>
    <t>Oui, j'ai préparé le café</t>
  </si>
  <si>
    <t>Tu as préparé le café?</t>
  </si>
  <si>
    <t>Tu as préparé le diné?</t>
  </si>
  <si>
    <t>Tu n'as pas préparé le café?</t>
  </si>
  <si>
    <t>Tu as pas préparé le café?</t>
  </si>
  <si>
    <t>Tu as -&gt; tu n'as pas</t>
  </si>
  <si>
    <t>Je voudrais savoir pourquoi tu n'as pas préparé le café</t>
  </si>
  <si>
    <t>Je n'ai pas</t>
  </si>
  <si>
    <t>J'ai faim, pourquoi tu as pas préparé le diné?</t>
  </si>
  <si>
    <t>Je n'ai pas visité Paris</t>
  </si>
  <si>
    <t>Je n'ai pas invité Jean au ciné(ma)</t>
  </si>
  <si>
    <t>Désolé</t>
  </si>
  <si>
    <t>J'ai pas préparé le café, désolé</t>
  </si>
  <si>
    <t>Désolé, mais j'ai pas préparé le café</t>
  </si>
  <si>
    <t>Désolé, mais j'ai pas réservé une table au restau Français</t>
  </si>
  <si>
    <t>masc</t>
  </si>
  <si>
    <t>2_3</t>
  </si>
  <si>
    <t>Je voudrais préparer le diné</t>
  </si>
  <si>
    <t>Le préparer</t>
  </si>
  <si>
    <t>Je voudrais le préparer</t>
  </si>
  <si>
    <t>prepare it</t>
  </si>
  <si>
    <t>Je peux</t>
  </si>
  <si>
    <t>Je peux préparer le diné</t>
  </si>
  <si>
    <t>Je peux le préparer</t>
  </si>
  <si>
    <t>Il peux</t>
  </si>
  <si>
    <t>Elle peux</t>
  </si>
  <si>
    <t>Elle peux le manger</t>
  </si>
  <si>
    <t>Il peux le préparer</t>
  </si>
  <si>
    <t>Je peux, tu peux, il peux, elle peux</t>
  </si>
  <si>
    <t>Faire</t>
  </si>
  <si>
    <t>Aujourd'hui</t>
  </si>
  <si>
    <t>Je peux pas</t>
  </si>
  <si>
    <t>2_4</t>
  </si>
  <si>
    <t>Je peux pas le faire aujourd'hui</t>
  </si>
  <si>
    <t>Il peut le faire</t>
  </si>
  <si>
    <t>Elle peut le faire aujourd'hui</t>
  </si>
  <si>
    <t>Elle peut le faire demain</t>
  </si>
  <si>
    <t>Elle ne peut pas</t>
  </si>
  <si>
    <t>Tu peux</t>
  </si>
  <si>
    <t>Tu peux le faire demain</t>
  </si>
  <si>
    <t>Tu peux le faire demain?</t>
  </si>
  <si>
    <t>Est-que tu peux le faire aujourd'hui?</t>
  </si>
  <si>
    <t>Je peux le manger?</t>
  </si>
  <si>
    <t>On peut</t>
  </si>
  <si>
    <t>On peut le faire</t>
  </si>
  <si>
    <t>Comprendre</t>
  </si>
  <si>
    <t>Je peux comprendre</t>
  </si>
  <si>
    <t>Négation Sandwich vs ? -&gt; must have a filling</t>
  </si>
  <si>
    <t>Je peux pas le manger</t>
  </si>
  <si>
    <t>Je peux pas le faire</t>
  </si>
  <si>
    <t>2_5</t>
  </si>
  <si>
    <t>J'ai</t>
  </si>
  <si>
    <t>Confirmer</t>
  </si>
  <si>
    <t>Pron. feedback</t>
  </si>
  <si>
    <t>a</t>
  </si>
  <si>
    <t>My friend has visited Hanoi and my chien has visited Taipei</t>
  </si>
  <si>
    <t>Ce soir</t>
  </si>
  <si>
    <t>Je voudrais réserver pour ce soir</t>
  </si>
  <si>
    <t>Voulez-vous reserver une table pour ce soir?</t>
  </si>
  <si>
    <t>-&gt; vous voulez</t>
  </si>
  <si>
    <t>a = to</t>
  </si>
  <si>
    <t>Je voudrais reserver une table, mais je voudrais savoir si c'est pratique</t>
  </si>
  <si>
    <t>En Francais, c'est typique</t>
  </si>
  <si>
    <t>Je voudrais aller au café, est-ce qu'il est typique?</t>
  </si>
  <si>
    <t>Tu as -&gt; tu as pas</t>
  </si>
  <si>
    <t>Cum.</t>
  </si>
  <si>
    <t>PN track start</t>
  </si>
  <si>
    <t>Ils peuvent me comprendre</t>
  </si>
  <si>
    <t>me</t>
  </si>
  <si>
    <t>te</t>
  </si>
  <si>
    <t>guess</t>
  </si>
  <si>
    <t>2_7</t>
  </si>
  <si>
    <t>Je peux le voir</t>
  </si>
  <si>
    <t>Il peut le voir</t>
  </si>
  <si>
    <t>Ils peuvent le voir</t>
  </si>
  <si>
    <t>Careful with genre, cf english "I have a sister. Oh can I see it?"</t>
  </si>
  <si>
    <t>"le" is often blurred in connected speech -&gt; J'peux l'voir?</t>
  </si>
  <si>
    <t>small lunch</t>
  </si>
  <si>
    <t>not like "stay"</t>
  </si>
  <si>
    <t>2_10</t>
  </si>
  <si>
    <t>one nég is enough, practice omitting the first one exclusively</t>
  </si>
  <si>
    <t>**easy to insert "jamais" here</t>
  </si>
  <si>
    <t>sandwich</t>
  </si>
  <si>
    <t>sushi</t>
  </si>
  <si>
    <t>restau = restaurant</t>
  </si>
  <si>
    <t>~V</t>
  </si>
  <si>
    <t>On</t>
  </si>
  <si>
    <t>2_6~</t>
  </si>
  <si>
    <t>C'est possible?</t>
  </si>
  <si>
    <t>S6 - Un p'tit déj à Paris</t>
  </si>
  <si>
    <t>Une amie te fait visiter Paris</t>
  </si>
  <si>
    <t>Elle peut voir Paris</t>
  </si>
  <si>
    <t>Je peux le voir?</t>
  </si>
  <si>
    <t>Ouah, c'est magnifique!</t>
  </si>
  <si>
    <t>Je peux te voir</t>
  </si>
  <si>
    <t>On peut voir Paris</t>
  </si>
  <si>
    <t>Un appartement</t>
  </si>
  <si>
    <t>Elle a un appartement à Paris</t>
  </si>
  <si>
    <t>Mon amie a un grand appartement</t>
  </si>
  <si>
    <t>Elle peut voir tout Paris</t>
  </si>
  <si>
    <t>Et toi, tu as un grand appartement?</t>
  </si>
  <si>
    <t>Non, j'ai un petit appartement</t>
  </si>
  <si>
    <t>On peut voir tout Paris</t>
  </si>
  <si>
    <t>Tu peux voir le restau?</t>
  </si>
  <si>
    <t>Non, il est où?</t>
  </si>
  <si>
    <t>Où et le restaurant?</t>
  </si>
  <si>
    <t>Il est là-bas</t>
  </si>
  <si>
    <t>On peut déjeuner là-bas</t>
  </si>
  <si>
    <t>Maintenant?</t>
  </si>
  <si>
    <t>Non, pas maintenant!</t>
  </si>
  <si>
    <t>Maintenant, on peut prendre le petit-déjeuner</t>
  </si>
  <si>
    <t>C'est délicieux!</t>
  </si>
  <si>
    <t>Tu peux voir ma voiture?</t>
  </si>
  <si>
    <t>Non, elle est où?</t>
  </si>
  <si>
    <t>Ici, tu peux la voir?</t>
  </si>
  <si>
    <t>Ah oui</t>
  </si>
  <si>
    <t>Tu as un chien?</t>
  </si>
  <si>
    <t>Oui, j'ai un chien</t>
  </si>
  <si>
    <t>Est-ce que je peux le voir?</t>
  </si>
  <si>
    <t>Oui bien sûr!</t>
  </si>
  <si>
    <t>Où est-il?</t>
  </si>
  <si>
    <t>Il est ici</t>
  </si>
  <si>
    <t>Il est mignon !</t>
  </si>
  <si>
    <t>C'est quoi son nom?</t>
  </si>
  <si>
    <t>Son nom c'est Biscuit</t>
  </si>
  <si>
    <t>Bonjour Biscuit, moi c'est Nga</t>
  </si>
  <si>
    <t>N-G-A</t>
  </si>
  <si>
    <t>Oh, c'est un nom exotique</t>
  </si>
  <si>
    <t>Oui, c'est Vietnamien</t>
  </si>
  <si>
    <t>Tu peux le voir?</t>
  </si>
  <si>
    <t>C'est magnifique!</t>
  </si>
  <si>
    <t>Tu peux me voir?</t>
  </si>
  <si>
    <t>~ Et toi, tu as un grand appartement?
~ Non, j'ai un petit appartement</t>
  </si>
  <si>
    <t>~ Je peux le voir?
~ Ouah, c'est magnifique!</t>
  </si>
  <si>
    <t>~ Tu peux voir ma voiture?
~ Non, elle est où?
~ Ici, tu peux la voir?</t>
  </si>
  <si>
    <t>~ Tu peux voir le restau?
~ Non, il est où?
~ Il est là-bas</t>
  </si>
  <si>
    <t>~ Maintenant?
~ Non, pas maintenant!</t>
  </si>
  <si>
    <t>S7 - Un p'tit déj à Paris 2?</t>
  </si>
  <si>
    <t>An appartment</t>
  </si>
  <si>
    <t>She has a flat in Paris</t>
  </si>
  <si>
    <t>She can see all of Paris</t>
  </si>
  <si>
    <t>It's magnificent</t>
  </si>
  <si>
    <t>~ And you, do you have a big appartment?
~ No, I have a small appartment</t>
  </si>
  <si>
    <t>~ Can I see it?
~ Wow, it's magnificent</t>
  </si>
  <si>
    <t>Can you see me?</t>
  </si>
  <si>
    <t>He can see it/him</t>
  </si>
  <si>
    <t>They can see it/him</t>
  </si>
  <si>
    <t>We can see all of Paris</t>
  </si>
  <si>
    <t>~ Can you see my car?
~ No, where is it?
~ Here, can you see it?</t>
  </si>
  <si>
    <t>~ Can you see the restaurant?
~ No, where is it?
~ It's over there</t>
  </si>
  <si>
    <t>We can have lunch over there</t>
  </si>
  <si>
    <t>~ Now?
~ No, not now!</t>
  </si>
  <si>
    <t>Now, we can have breakfast</t>
  </si>
  <si>
    <t>It's delicious!</t>
  </si>
  <si>
    <t>Tu as déjeuné avec ton amie</t>
  </si>
  <si>
    <t>Le retaurant, en France, c'est délicieux, mais c'est très cher!</t>
  </si>
  <si>
    <t>Tu as acheté à manger avec mon amie pour le diner</t>
  </si>
  <si>
    <t>Tu as diné avec ton amie</t>
  </si>
  <si>
    <t>Ce soir, vous avez mangé à la maison</t>
  </si>
  <si>
    <t>Je peux préparer à manger pour toi</t>
  </si>
  <si>
    <t>Super, merci!</t>
  </si>
  <si>
    <t>C'est quoi?</t>
  </si>
  <si>
    <t>Ton chien peux manger du chocolat?</t>
  </si>
  <si>
    <t>Non, il peut pas</t>
  </si>
  <si>
    <t>C'est dangereux</t>
  </si>
  <si>
    <t>Comment est le diné?</t>
  </si>
  <si>
    <t>Le diné est parfait, merci!</t>
  </si>
  <si>
    <t>Je peux rester chez toi ce soir?</t>
  </si>
  <si>
    <t>Est-ce que je peux dormir chez toi ce soir?</t>
  </si>
  <si>
    <t>S8 - Un p'tit déj à Paris 3?</t>
  </si>
  <si>
    <t>Vous avez acheté à manger et tu cuisine pour ton amie</t>
  </si>
  <si>
    <t>acheter + à manger</t>
  </si>
  <si>
    <t>avez</t>
  </si>
  <si>
    <t>bien sûr</t>
  </si>
  <si>
    <t>du</t>
  </si>
  <si>
    <t>cher</t>
  </si>
  <si>
    <t>C'est bon?</t>
  </si>
  <si>
    <t>x1</t>
  </si>
  <si>
    <t>x2</t>
  </si>
  <si>
    <t>last</t>
  </si>
  <si>
    <t>dangereux</t>
  </si>
  <si>
    <t>parfait</t>
  </si>
  <si>
    <t>C''est parfait Nga!</t>
  </si>
  <si>
    <t>ask favorite french dessert</t>
  </si>
  <si>
    <t>On peut en acheter maintenant?</t>
  </si>
  <si>
    <t>en</t>
  </si>
  <si>
    <t>Drill en</t>
  </si>
  <si>
    <t>Je peux en manger?</t>
  </si>
  <si>
    <t>il y a</t>
  </si>
  <si>
    <t>cont.</t>
  </si>
  <si>
    <t>Non, pas maintenant.</t>
  </si>
  <si>
    <t>Je veux manger d'abord.</t>
  </si>
  <si>
    <t>d'abord</t>
  </si>
  <si>
    <t>Exactement!</t>
  </si>
  <si>
    <t>Ah, tu as tres faim, c'est ca?</t>
  </si>
  <si>
    <t>Tu veux prendre un verre?</t>
  </si>
  <si>
    <t>d2sol2</t>
  </si>
  <si>
    <t>possible</t>
  </si>
  <si>
    <t>rester</t>
  </si>
  <si>
    <t>bon</t>
  </si>
  <si>
    <t>comment</t>
  </si>
  <si>
    <t>Merci beaucoup!</t>
  </si>
  <si>
    <t>Où sont les toilettes?</t>
  </si>
  <si>
    <t>Où est ma chambre?</t>
  </si>
  <si>
    <t>stp</t>
  </si>
  <si>
    <t>Où est-ce que je peux prendre un taxi?</t>
  </si>
  <si>
    <t>Mais il peut manger des croissants.</t>
  </si>
  <si>
    <t>Ah, on peut acheter des croissants pour Biscuit</t>
  </si>
  <si>
    <t>veux</t>
  </si>
  <si>
    <t>Est-ce que je peux dormir ici ce soir?</t>
  </si>
  <si>
    <t>dormir</t>
  </si>
  <si>
    <t>d'accord</t>
  </si>
  <si>
    <t>beaucoup</t>
  </si>
  <si>
    <t>Est-ce que tu veux prendre ta douche d'abord?</t>
  </si>
  <si>
    <t>Il y a du café?</t>
  </si>
  <si>
    <t>x1'</t>
  </si>
  <si>
    <t>Je suis fatiguée.</t>
  </si>
  <si>
    <t>Je veux dormir maintenant.</t>
  </si>
  <si>
    <t>Elle est là-bas.</t>
  </si>
  <si>
    <t>Non, désolé, c'est pas possible.</t>
  </si>
  <si>
    <t>D'accord.</t>
  </si>
  <si>
    <t>Pourquoi pas! On peut discuter.</t>
  </si>
  <si>
    <t>Non, je veux en préprarer.</t>
  </si>
  <si>
    <t>Je veux en prendre.</t>
  </si>
  <si>
    <t>Il y a des chocolats a la maison.</t>
  </si>
  <si>
    <t>Oui, tu peux en manger, pas de probleme.</t>
  </si>
  <si>
    <t>Comment est le diné? C'est bon?</t>
  </si>
  <si>
    <t>Je peux rester chez toi ce soir? C'est possible?</t>
  </si>
  <si>
    <t>Je suis fatiguée. Je veux dormir maintenant.</t>
  </si>
  <si>
    <t>~ Je peux en manger?
~ Oui, tu peux en manger, pas de probleme.</t>
  </si>
  <si>
    <t>~ Il y a des chocolats a la maison.
~ Je veux en prendre.</t>
  </si>
  <si>
    <t>~ Il y a du café?
~ Non, je veux en préprarer.</t>
  </si>
  <si>
    <t>~ Ah, tu as tres faim, c'est ca?
~ Exactement!</t>
  </si>
  <si>
    <t>~ Tu veux prendre un verre?
~ Pourquoi pas! On peut discuter.</t>
  </si>
  <si>
    <t>~ Est-ce que je peux dormir chez toi ce soir?
~ D'accord.</t>
  </si>
  <si>
    <t>~ Où est ma chambre?
~ Elle est là-bas.</t>
  </si>
  <si>
    <t>verre</t>
  </si>
  <si>
    <t>Audio</t>
  </si>
  <si>
    <t>Slow audio</t>
  </si>
  <si>
    <t>Image</t>
  </si>
  <si>
    <t>c</t>
  </si>
  <si>
    <t>s</t>
  </si>
  <si>
    <t>Marker</t>
  </si>
  <si>
    <t>Tags</t>
  </si>
  <si>
    <t>[sound:rec1645544842.mp3]</t>
  </si>
  <si>
    <t>Nga_Fr_Lessons-001-001</t>
  </si>
  <si>
    <t>Nga::Fr::Lessons::001</t>
  </si>
  <si>
    <t>[sound:rec1645544856.mp3]</t>
  </si>
  <si>
    <t>Have you invited a friend?</t>
  </si>
  <si>
    <t>[sound:rec1645544867.mp3]</t>
  </si>
  <si>
    <t>inf., 2</t>
  </si>
  <si>
    <t>[sound:rec1645544873.mp3]</t>
  </si>
  <si>
    <t>inf., 1</t>
  </si>
  <si>
    <t>[sound:rec1645545058.mp3]</t>
  </si>
  <si>
    <t>[sound:rec1645544930.mp3]</t>
  </si>
  <si>
    <t>[sound:rec1645544942.mp3]</t>
  </si>
  <si>
    <t>[sound:rec1645544953.mp3]</t>
  </si>
  <si>
    <t>[sound:rec1645544966.mp3]</t>
  </si>
  <si>
    <t>[sound:rec1645545970.mp3]</t>
  </si>
  <si>
    <t>[sound:rec1645715004.mp3]</t>
  </si>
  <si>
    <t>Have you booked (reserved) a table for dinner?</t>
  </si>
  <si>
    <t>[sound:rec1645715024.mp3]</t>
  </si>
  <si>
    <t>[sound:rec1645715062.mp3]</t>
  </si>
  <si>
    <t>[sound:rec1645715068.mp3]</t>
  </si>
  <si>
    <t>[sound:rec1645715077.mp3]</t>
  </si>
  <si>
    <t>Mon ami a visité Hanoi et mon chien a visité Taipei</t>
  </si>
  <si>
    <t>My friend has visited Hanoi and my dog has visited Taipei</t>
  </si>
  <si>
    <t>[sound:rec1645715089.mp3]</t>
  </si>
  <si>
    <t>[sound:rec1645715113.mp3]</t>
  </si>
  <si>
    <t>[sound:rec1645715118.mp3]</t>
  </si>
  <si>
    <t>[sound:rec1645715122.mp3]</t>
  </si>
  <si>
    <t>[sound:rec1645715127.mp3]</t>
  </si>
  <si>
    <t>[sound:rec1645715131.mp3]</t>
  </si>
  <si>
    <t>[sound:rec1645715139.mp3]</t>
  </si>
  <si>
    <t>[sound:rec1645715147.mp3]</t>
  </si>
  <si>
    <t>[sound:rec1645715156.mp3]</t>
  </si>
  <si>
    <t>[sound:rec1645715166.mp3]</t>
  </si>
  <si>
    <t>I would like to book for tonight</t>
  </si>
  <si>
    <t>[sound:rec1646063577.mp3]</t>
  </si>
  <si>
    <t>I have booked a table for tonight for two people</t>
  </si>
  <si>
    <t>[sound:rec1646063588.mp3]</t>
  </si>
  <si>
    <t>Do you want to book a table for tonight?</t>
  </si>
  <si>
    <t>[sound:rec1646063598.mp3]</t>
  </si>
  <si>
    <t>form., 2</t>
  </si>
  <si>
    <t>Do you want to visit Hanoi?</t>
  </si>
  <si>
    <t>[sound:rec1646063606.mp3]</t>
  </si>
  <si>
    <t>Typical</t>
  </si>
  <si>
    <t>[sound:rec1646063611.mp3]</t>
  </si>
  <si>
    <t>Exotique</t>
  </si>
  <si>
    <t>[sound:rec1646063615.mp3]</t>
  </si>
  <si>
    <t>Political</t>
  </si>
  <si>
    <t>[sound:rec1646063619.mp3]</t>
  </si>
  <si>
    <t>[sound:rec1646063622.mp3]</t>
  </si>
  <si>
    <t>Convenient ('Practical')</t>
  </si>
  <si>
    <t>[sound:rec1646063626.mp3]</t>
  </si>
  <si>
    <t>Because</t>
  </si>
  <si>
    <t>[sound:rec1646063643.mp3]</t>
  </si>
  <si>
    <t>I would like to visit Paris because it's exotic</t>
  </si>
  <si>
    <t>[sound:rec1646063652.mp3]</t>
  </si>
  <si>
    <t>[sound:rec1646063661.mp3]</t>
  </si>
  <si>
    <t>inf., 3</t>
  </si>
  <si>
    <t>Is it convenient?</t>
  </si>
  <si>
    <t>[sound:rec1646063667.mp3]</t>
  </si>
  <si>
    <t>Je voudrais aller à Paris</t>
  </si>
  <si>
    <t>I would like to go to Paris</t>
  </si>
  <si>
    <t>[sound:rec1646063673.mp3]</t>
  </si>
  <si>
    <t>Je voudrais aller à ce café, est-ce qu'il est typique?</t>
  </si>
  <si>
    <t>I would like to go to this coffee shop, is it typical?</t>
  </si>
  <si>
    <t>[sound:rec1646063687.mp3]</t>
  </si>
  <si>
    <t>To know</t>
  </si>
  <si>
    <t>[sound:rec1646063701.mp3]</t>
  </si>
  <si>
    <t>I'd like to know if it's convenient</t>
  </si>
  <si>
    <t>[sound:rec1646063707.mp3]</t>
  </si>
  <si>
    <t>Do you want to book a table? Yes, but I would like to know if it's convenient</t>
  </si>
  <si>
    <t>[sound:rec1646063719.mp3]</t>
  </si>
  <si>
    <t>Est-ce que vous voulez reserver un table?</t>
  </si>
  <si>
    <t>Do you want to book a table? (form., 3)</t>
  </si>
  <si>
    <t>[sound:rec1646063738.mp3]</t>
  </si>
  <si>
    <t>Why?</t>
  </si>
  <si>
    <t>[sound:rec1646063744.mp3]</t>
  </si>
  <si>
    <t>Désolé!/Désolée!</t>
  </si>
  <si>
    <t>Sorry!</t>
  </si>
  <si>
    <t>[sound:rec1646063747.mp3]</t>
  </si>
  <si>
    <t>It's not ("this is not")</t>
  </si>
  <si>
    <t>[sound:rec1646923056.mp3]</t>
  </si>
  <si>
    <t>[sound:rec1646923070.mp3]</t>
  </si>
  <si>
    <t>[sound:rec1646923080.mp3]</t>
  </si>
  <si>
    <t>No, it's not convenient</t>
  </si>
  <si>
    <t>[sound:rec1646923085.mp3]</t>
  </si>
  <si>
    <t>I would like to go to Paris, but it's not convenient</t>
  </si>
  <si>
    <t>[sound:rec1646923091.mp3]</t>
  </si>
  <si>
    <t>Why is it not convenient?</t>
  </si>
  <si>
    <t>[sound:rec1646923097.mp3]</t>
  </si>
  <si>
    <t>I would like to know why it's not convenient</t>
  </si>
  <si>
    <t>[sound:rec1646923104.mp3]</t>
  </si>
  <si>
    <t>Why have you prepared the coffee?</t>
  </si>
  <si>
    <t>[sound:rec1646923112.mp3]</t>
  </si>
  <si>
    <t>Have you prepared the coffee?</t>
  </si>
  <si>
    <t>[sound:rec1646923117.mp3]</t>
  </si>
  <si>
    <t>Inf., 1</t>
  </si>
  <si>
    <t>Haven't you prepared the coffee?</t>
  </si>
  <si>
    <t>[sound:rec1646923122.mp3]</t>
  </si>
  <si>
    <t>Inf., 1, sandwich</t>
  </si>
  <si>
    <t>[sound:rec1646923127.mp3]</t>
  </si>
  <si>
    <t>Inf., 1, sushi</t>
  </si>
  <si>
    <t>I would like to know why you haven't prepared the coffee</t>
  </si>
  <si>
    <t>[sound:rec1646923135.mp3]</t>
  </si>
  <si>
    <t>I'm hungry, why haven't you prepare dthe dinner?</t>
  </si>
  <si>
    <t>[sound:rec1646923143.mp3]</t>
  </si>
  <si>
    <t>I haven't visited Paris</t>
  </si>
  <si>
    <t>[sound:rec1646923150.mp3]</t>
  </si>
  <si>
    <t>I haven't invited Jean to the cinema</t>
  </si>
  <si>
    <t>[sound:rec1646923161.mp3]</t>
  </si>
  <si>
    <t>I haven't prepared the coffee, sorry</t>
  </si>
  <si>
    <t>[sound:rec1646923168.mp3]</t>
  </si>
  <si>
    <t>Sorry, but I haven't prepared the coffee</t>
  </si>
  <si>
    <t>[sound:rec1646923173.mp3]</t>
  </si>
  <si>
    <t>French</t>
  </si>
  <si>
    <t>[sound:rec1646923188.mp3]</t>
  </si>
  <si>
    <t>Sorry, but I haven't booked a table at the French restaurant</t>
  </si>
  <si>
    <t>[sound:rec1646923199.mp3]</t>
  </si>
  <si>
    <t>I would like to prepare it</t>
  </si>
  <si>
    <t>[sound:rec1649342595.mp3]</t>
  </si>
  <si>
    <t>Je peux préparer le diner</t>
  </si>
  <si>
    <t>I can prepare the dinner</t>
  </si>
  <si>
    <t>[sound:rec1649342601.mp3]</t>
  </si>
  <si>
    <t>I can prepare it</t>
  </si>
  <si>
    <t>[sound:rec1649342606.mp3]</t>
  </si>
  <si>
    <t>She can eat it</t>
  </si>
  <si>
    <t>[sound:rec1649342614.mp3]</t>
  </si>
  <si>
    <t>She can do it today</t>
  </si>
  <si>
    <t>[sound:rec1649342630.mp3]</t>
  </si>
  <si>
    <t>You can do it tomorrow</t>
  </si>
  <si>
    <t>[sound:rec1649342641.mp3]</t>
  </si>
  <si>
    <t>Est-ce que tu peux le faire aujourd'hui?</t>
  </si>
  <si>
    <t>Can you do it today?</t>
  </si>
  <si>
    <t>[sound:rec1649342647.mp3]</t>
  </si>
  <si>
    <t>[sound:rec1649342757.mp3]</t>
  </si>
  <si>
    <t>tu, 3</t>
  </si>
  <si>
    <t>I cannot eat it</t>
  </si>
  <si>
    <t>[sound:rec1649342652.mp3]</t>
  </si>
  <si>
    <t>I cannot do it</t>
  </si>
  <si>
    <t>[sound:rec1649342657.mp3]</t>
  </si>
  <si>
    <t>On ne peut pas le manger aujourd'hui</t>
  </si>
  <si>
    <t>We cannot eat it today</t>
  </si>
  <si>
    <t>[sound:rec1649342663.mp3]</t>
  </si>
  <si>
    <t>[sound:rec1649342766.mp3]</t>
  </si>
  <si>
    <t>on</t>
  </si>
  <si>
    <t>I can understand</t>
  </si>
  <si>
    <t>[sound:rec1649342667.mp3]</t>
  </si>
  <si>
    <t>Tu peux me comprendre?</t>
  </si>
  <si>
    <t>Can you understand me?</t>
  </si>
  <si>
    <t>[sound:rec1649342672.mp3]</t>
  </si>
  <si>
    <t>[sound:rec1649342773.mp3]</t>
  </si>
  <si>
    <t>tu, 1</t>
  </si>
  <si>
    <t>Oui, je peux te comprendre!</t>
  </si>
  <si>
    <t>Yes, I can understand you!</t>
  </si>
  <si>
    <t>[sound:rec1649342677.mp3]</t>
  </si>
  <si>
    <t>Je peux le comprendre (it or him)</t>
  </si>
  <si>
    <t>I can understand it/him</t>
  </si>
  <si>
    <t>[sound:rec1649342682.mp3]</t>
  </si>
  <si>
    <t>Je peux la comprendre (her)</t>
  </si>
  <si>
    <t>I can understand her</t>
  </si>
  <si>
    <t>[sound:rec1649342693.mp3]</t>
  </si>
  <si>
    <t>[sound:rec1651022575.mp3]</t>
  </si>
  <si>
    <t>[sound:rec1651022729.mp3]</t>
  </si>
  <si>
    <t>[sound:rec1651022738.mp3]</t>
  </si>
  <si>
    <t>[sound:rec1651022742.mp3]</t>
  </si>
  <si>
    <t>[sound:rec1651022757.mp3]</t>
  </si>
  <si>
    <t>[sound:rec1651022764.mp3]</t>
  </si>
  <si>
    <t>[sound:rec1651022769.mp3]</t>
  </si>
  <si>
    <t>[sound:rec1651022773.mp3]</t>
  </si>
  <si>
    <t>[sound:rec1651022777.mp3]</t>
  </si>
  <si>
    <t>[sound:rec1651022782.mp3]</t>
  </si>
  <si>
    <t>[sound:rec1651022792.mp3]</t>
  </si>
  <si>
    <t>[sound:rec1651022801.mp3]</t>
  </si>
  <si>
    <t>[sound:rec1651022810.mp3]</t>
  </si>
  <si>
    <t>[sound:rec1651022823.mp3]</t>
  </si>
  <si>
    <t>[sound:rec1651022829.mp3]</t>
  </si>
  <si>
    <t>[sound:rec1651022833.mp3]</t>
  </si>
  <si>
    <t>Restaurants in France are delicious, but very expensive</t>
  </si>
  <si>
    <t>[sound:rec1651801485.mp3]</t>
  </si>
  <si>
    <t>Tu as acheté à manger avec ton amie</t>
  </si>
  <si>
    <t>You have bought some food with your friend</t>
  </si>
  <si>
    <t>[sound:rec1651801502.mp3]</t>
  </si>
  <si>
    <t>You had diner with your friend</t>
  </si>
  <si>
    <t>[sound:rec1651801516.mp3]</t>
  </si>
  <si>
    <t>Tonight, you had diner at home</t>
  </si>
  <si>
    <t>[sound:rec1651801523.mp3]</t>
  </si>
  <si>
    <t>vous</t>
  </si>
  <si>
    <t>~ Je peux préparer à manger pour toi
~ Super, merci!</t>
  </si>
  <si>
    <t>[sound:rec1651801534.mp3]</t>
  </si>
  <si>
    <t>C'est quoi ça? Tu as un chien?</t>
  </si>
  <si>
    <t>What is this? Do you have a dog?</t>
  </si>
  <si>
    <t>[sound:rec1651801542.mp3]</t>
  </si>
  <si>
    <t>Où est-il? Est-ce que je peux le voir?</t>
  </si>
  <si>
    <t>Where is it? Can I see it?</t>
  </si>
  <si>
    <t>[sound:rec1651801549.mp3]</t>
  </si>
  <si>
    <t>~ Il est ici
~ Oh, il est mignon !</t>
  </si>
  <si>
    <t>~ It's here
~ Oh, it's so cute!</t>
  </si>
  <si>
    <t>[sound:rec1651801557.mp3]</t>
  </si>
  <si>
    <t>~ C'est quoi son nom?
~ Son nom c'est Biscuit.</t>
  </si>
  <si>
    <t>~ What's its name?
~ Its name is Biscuit</t>
  </si>
  <si>
    <t>[sound:rec1651801564.mp3]</t>
  </si>
  <si>
    <t>Salut Biscuit, moi c'est Nga, N-G-A.</t>
  </si>
  <si>
    <t>Hi Biscuit, I'm Nga, N-G-A.</t>
  </si>
  <si>
    <t>[sound:rec1651801574.mp3]</t>
  </si>
  <si>
    <t>~ Oh, c'est un nom exotique
~ Oui, c'est Vietnamien</t>
  </si>
  <si>
    <t>~ Oh, that's an exotic name
~ Yes, it's Vietnamese</t>
  </si>
  <si>
    <t>[sound:rec1651801586.mp3]</t>
  </si>
  <si>
    <t>Can you dog eat chocolate?</t>
  </si>
  <si>
    <t>[sound:rec1651801595.mp3]</t>
  </si>
  <si>
    <t>~ Tu n'as pas faim?
~ Si, j'ai très faim</t>
  </si>
  <si>
    <t>~ Are you not hungry?
~ Yes, I'm very hungry</t>
  </si>
  <si>
    <t>[sound:rec1651801603.mp3]</t>
  </si>
  <si>
    <t>It's dangerous</t>
  </si>
  <si>
    <t>[sound:rec1652370946.mp3]</t>
  </si>
  <si>
    <t>Ah, we can buy some croissants for Biscuit</t>
  </si>
  <si>
    <t>[sound:rec1652370970.mp3]</t>
  </si>
  <si>
    <t>Can we buy some now?</t>
  </si>
  <si>
    <t>[sound:rec1652370980.mp3]</t>
  </si>
  <si>
    <t>~ Can I eat some?
~ Yeah, you can eat some, no problem</t>
  </si>
  <si>
    <t>[sound:rec1652370991.mp3]</t>
  </si>
  <si>
    <t>~ There are chocolates at home.
~ I want to take some.</t>
  </si>
  <si>
    <t>[sound:rec1652371016.mp3]</t>
  </si>
  <si>
    <t>~ Is there coffee?
~ No, I want to prepare some.</t>
  </si>
  <si>
    <t>[sound:rec1652371026.mp3]</t>
  </si>
  <si>
    <t>I want to eat first.</t>
  </si>
  <si>
    <t>[sound:rec1652371035.mp3]</t>
  </si>
  <si>
    <t>~ Ah, you're very hungry, right?
~ Exactly!</t>
  </si>
  <si>
    <t>[sound:rec1652371042.mp3]</t>
  </si>
  <si>
    <t>How is the dinner? Is it tasty?</t>
  </si>
  <si>
    <t>[sound:rec1652371050.mp3]</t>
  </si>
  <si>
    <t>The dinner is perfect, thanks!</t>
  </si>
  <si>
    <t>[sound:rec1652371056.mp3]</t>
  </si>
  <si>
    <t>~ You want to have a drink?
~ Why not! We can chat.</t>
  </si>
  <si>
    <t>[sound:rec1652371066.mp3]</t>
  </si>
  <si>
    <t>Can I stay at your place tonight? Is it possible?</t>
  </si>
  <si>
    <t>[sound:rec1652371076.mp3]</t>
  </si>
  <si>
    <t>[sound:rec1652371087.mp3]</t>
  </si>
  <si>
    <t>~ Where's my room?
~ It's over there.</t>
  </si>
  <si>
    <t>[sound:rec1652371103.mp3]</t>
  </si>
  <si>
    <t>I'm tired. I want to sleep now.</t>
  </si>
  <si>
    <t>[sound:rec1652371111.mp3]</t>
  </si>
  <si>
    <t>f.</t>
  </si>
  <si>
    <t>Do you want to take your shower first?</t>
  </si>
  <si>
    <t>[sound:rec1652371125.mp3]</t>
  </si>
  <si>
    <t>Sum of s</t>
  </si>
  <si>
    <t>PN</t>
  </si>
  <si>
    <t>Euh, non je vais attendre demain.</t>
  </si>
  <si>
    <t>Les toilettes sont là-bas, à droite.</t>
  </si>
  <si>
    <t>Attendre</t>
  </si>
  <si>
    <t>Droite</t>
  </si>
  <si>
    <t>Warm up content</t>
  </si>
  <si>
    <t>discuter vn</t>
  </si>
  <si>
    <t>tu veux dormir</t>
  </si>
  <si>
    <t>les/des</t>
  </si>
  <si>
    <t>Tu es ou? Chez moi</t>
  </si>
  <si>
    <t>349-360</t>
  </si>
  <si>
    <t>ils veulent le prendre maintenant</t>
  </si>
  <si>
    <t>ils veulent en prendre maintenant</t>
  </si>
  <si>
    <t>lesson title</t>
  </si>
  <si>
    <t>Bonne nuit</t>
  </si>
  <si>
    <t>Aussi</t>
  </si>
  <si>
    <t>Tu as bien dormi?</t>
  </si>
  <si>
    <t>Oui, et toi?</t>
  </si>
  <si>
    <t>Moi aussi</t>
  </si>
  <si>
    <t>quoi/pourquoi</t>
  </si>
  <si>
    <t>Je dois partir maintenant</t>
  </si>
  <si>
    <t>Tu dois manger avant de partir</t>
  </si>
  <si>
    <t>Tu veux prendre ton petit-dej maintenant?</t>
  </si>
  <si>
    <t xml:space="preserve">Oui, mais je dois prendre ma douche d'abord </t>
  </si>
  <si>
    <t>Je dois prendre mon petit-dej</t>
  </si>
  <si>
    <t>Tu dois acheter a manger</t>
  </si>
  <si>
    <t>Tu dois preparer le café</t>
  </si>
  <si>
    <t>Dois</t>
  </si>
  <si>
    <t>Partir</t>
  </si>
  <si>
    <t>Avant de</t>
  </si>
  <si>
    <t>Bon, d'accord</t>
  </si>
  <si>
    <t>Tu veux boire du lait?</t>
  </si>
  <si>
    <t>Tu as du pain?</t>
  </si>
  <si>
    <t>Non merci, j'en veux pas</t>
  </si>
  <si>
    <t>en + neg</t>
  </si>
  <si>
    <t>Non, j'en ai pas achete</t>
  </si>
  <si>
    <t>Ah, et tu as du café?</t>
  </si>
  <si>
    <t>C'est pas grave</t>
  </si>
  <si>
    <t>pain</t>
  </si>
  <si>
    <t>Je dois prendre un taxi</t>
  </si>
  <si>
    <t>Tu as du pain, stp?</t>
  </si>
  <si>
    <t>Je peux appeler un taxi pour toi</t>
  </si>
  <si>
    <t>Tu dois attendre le taxi 10 minutes</t>
  </si>
  <si>
    <t>10 + minutes</t>
  </si>
  <si>
    <t>D'accord, au revoir!</t>
  </si>
  <si>
    <t>A plus tard!</t>
  </si>
  <si>
    <t>Au revoir</t>
  </si>
  <si>
    <t>Plus tard</t>
  </si>
  <si>
    <t>Ok, et c'est combien?</t>
  </si>
  <si>
    <t>C'est 10 euros</t>
  </si>
  <si>
    <t>Euro</t>
  </si>
  <si>
    <t>Combien?</t>
  </si>
  <si>
    <t>Sont + toilettes</t>
  </si>
  <si>
    <t>Bien + Dormi</t>
  </si>
  <si>
    <t>La vie</t>
  </si>
  <si>
    <t>Je dois prendre une douche avant de dormir</t>
  </si>
  <si>
    <t>Bon</t>
  </si>
  <si>
    <t>Boire + lait</t>
  </si>
  <si>
    <t>Où est-ce que</t>
  </si>
  <si>
    <t>Appeler</t>
  </si>
  <si>
    <t>Toi aussi</t>
  </si>
  <si>
    <t>x3</t>
  </si>
  <si>
    <t>On doit discuter de la vie</t>
  </si>
  <si>
    <t>Non, tu dois manger d'abord!</t>
  </si>
  <si>
    <t>Cards</t>
  </si>
  <si>
    <t>Oui j'en ai, mais j'en ai pas preparé…</t>
  </si>
  <si>
    <t>Je dois aller voir au Louvre maintenant</t>
  </si>
  <si>
    <t>au = à + le</t>
  </si>
  <si>
    <t>~Tu as bien dormi?
~ Oui, et toi?
~ Moi aussi</t>
  </si>
  <si>
    <t>~ Can I sleep at your place tonight?
~ Alright.</t>
  </si>
  <si>
    <t>Hmm, no I'm gonna wait until tomorrow</t>
  </si>
  <si>
    <t>~ Where are the toilets?
~ The toilets are over there, on the right.</t>
  </si>
  <si>
    <t>~ Good night
~ You too</t>
  </si>
  <si>
    <t>~ Où sont les toilettes?
~ Les toilettes sont là-bas, à droite.</t>
  </si>
  <si>
    <t>~ Bonne nuit
~ Toi aussi</t>
  </si>
  <si>
    <t>~ Tu as bien dormi?
~ Oui, et toi?
~ Moi aussi</t>
  </si>
  <si>
    <t>~ Je dois partir maintenant
~ Non, tu dois manger d'abord!</t>
  </si>
  <si>
    <t>~ Tu veux boire du lait?
~ Non merci, j'en veux pas</t>
  </si>
  <si>
    <t>~ Tu as du pain, stp?
~ Non, j'en ai pas achete</t>
  </si>
  <si>
    <t>~ Ah, et tu as du café?
~ Oui j'en ai, mais j'en ai pas preparé…</t>
  </si>
  <si>
    <t>~ Je peux appeler un taxi pour toi
~ Super, merci!</t>
  </si>
  <si>
    <t>~ Ok, et c'est combien?
~ C'est 10 euros</t>
  </si>
  <si>
    <t>~ D'accord, au revoir!
~ A plus tard!</t>
  </si>
  <si>
    <t>Do you want to have breakfast now?</t>
  </si>
  <si>
    <t>Yes, but I have to take a shower first</t>
  </si>
  <si>
    <t xml:space="preserve">Oui, mais je dois prendre une douche d'abord </t>
  </si>
  <si>
    <t>We have to talk about life</t>
  </si>
  <si>
    <t>on, 'discuss'</t>
  </si>
  <si>
    <t>You have to prepare some coffee</t>
  </si>
  <si>
    <t>Tu dois preparer du café</t>
  </si>
  <si>
    <t>~ I have to leave now
~ No, you have to eat first!</t>
  </si>
  <si>
    <t>You have to eat before leaving</t>
  </si>
  <si>
    <t>I have to take a shower before leaving</t>
  </si>
  <si>
    <t>~ Do you want to drink some milk?
~ No thanks, I don't want some</t>
  </si>
  <si>
    <t>~ Do you have some bread please?
~ No, I haven't bought some</t>
  </si>
  <si>
    <t>~ Oh, and do you have some coffee?
~ Yes I have some, but I haven't prepared it ('some')…</t>
  </si>
  <si>
    <t>No worries</t>
  </si>
  <si>
    <t>I have to go to the Louvre now</t>
  </si>
  <si>
    <t>Where can I grab a taxi?</t>
  </si>
  <si>
    <t>~ I can call a taxi for you
~ Awesome, thanks!</t>
  </si>
  <si>
    <t>You to wait 10 minutes for the taxi</t>
  </si>
  <si>
    <t>~ Okay, how much is it?
~ It's 10 euros</t>
  </si>
  <si>
    <t>~ Alright, bye!
~ See you later!</t>
  </si>
  <si>
    <t>[sound:rec1653017657.mp3]</t>
  </si>
  <si>
    <t>[sound:rec1653017665.mp3]</t>
  </si>
  <si>
    <t>[sound:rec1653017672.mp3]</t>
  </si>
  <si>
    <t>[sound:rec1653017680.mp3]</t>
  </si>
  <si>
    <t>[sound:rec1653017689.mp3]</t>
  </si>
  <si>
    <t>[sound:rec1653017702.mp3]</t>
  </si>
  <si>
    <t>[sound:rec1653017708.mp3]</t>
  </si>
  <si>
    <t>[sound:rec1653017714.mp3]</t>
  </si>
  <si>
    <t>[sound:rec1653017741.mp3]</t>
  </si>
  <si>
    <t>[sound:rec1653017750.mp3]</t>
  </si>
  <si>
    <t>[sound:rec1653017757.mp3]</t>
  </si>
  <si>
    <t>[sound:rec1653017765.mp3]</t>
  </si>
  <si>
    <t>[sound:rec1653017778.mp3]</t>
  </si>
  <si>
    <t>[sound:rec1653017788.mp3]</t>
  </si>
  <si>
    <t>[sound:rec1653017795.mp3]</t>
  </si>
  <si>
    <t>[sound:rec1653017800.mp3]</t>
  </si>
  <si>
    <t>[sound:rec1653017809.mp3]</t>
  </si>
  <si>
    <t>[sound:rec1653017818.mp3]</t>
  </si>
  <si>
    <t>[sound:rec1653017826.mp3]</t>
  </si>
  <si>
    <t>[sound:rec1653017833.mp3]</t>
  </si>
  <si>
    <t>[sound:rec1653017840.mp3]</t>
  </si>
  <si>
    <t>Je dois aller au Louvre maintenant</t>
  </si>
  <si>
    <t>~ Je dois partir maintenant
~ Non, tu dois d'abord manger!</t>
  </si>
  <si>
    <t>[sound:rec1653017957.mp3]</t>
  </si>
  <si>
    <t>[sound:rec1653017981.mp3]</t>
  </si>
  <si>
    <t>[sound:rec1653018000.mp3]</t>
  </si>
  <si>
    <t>Bonjour Monsieur</t>
  </si>
  <si>
    <t>Bonjour Mademoiselle</t>
  </si>
  <si>
    <t>Je dois payer maintenant ou apres?</t>
  </si>
  <si>
    <t>Vous pouvez payer tout 0 l'heure</t>
  </si>
  <si>
    <t>Vous voulez aller au Louvre, c'est ca?</t>
  </si>
  <si>
    <t>drill voulez + voulons</t>
  </si>
  <si>
    <t>Oui, je vais visiter le musee et apres je vais rentrer a la maison</t>
  </si>
  <si>
    <t>prerecord and work through it bits by bits?</t>
  </si>
  <si>
    <t>Quelle heure est-il?</t>
  </si>
  <si>
    <t>Il est quelle heure?</t>
  </si>
  <si>
    <t>Il est 8 heures</t>
  </si>
  <si>
    <t>Ah, d2j0 huit heures…</t>
  </si>
  <si>
    <t>Vous voulez aller plus vite?</t>
  </si>
  <si>
    <t>Non, c'est bon merci</t>
  </si>
  <si>
    <t>Vous etes d'ou?</t>
  </si>
  <si>
    <t>Je suis Vietnamienne</t>
  </si>
  <si>
    <t>Vous avez appris le Francais au Vietnam?</t>
  </si>
  <si>
    <t>Oui, je voudrais travailler en France plus tard</t>
  </si>
  <si>
    <t>*insert question to driver*</t>
  </si>
  <si>
    <t>Pardon? J'ai pas compris</t>
  </si>
  <si>
    <t>Et vous, vous avez fait ca combien de temps?</t>
  </si>
  <si>
    <t>Vous avez un accent non?</t>
  </si>
  <si>
    <t>Tu veux dire chauffeur de taxi? Oui</t>
  </si>
  <si>
    <t>Ca fait huit ans dej0</t>
  </si>
  <si>
    <t>Ouah, ca fait longtemps!</t>
  </si>
  <si>
    <t>Pardon… Allo?</t>
  </si>
  <si>
    <t>Oui, *insert name* ca va?</t>
  </si>
  <si>
    <t>Hey Nga, tu vas rentrer a quelle heure ce soir?</t>
  </si>
  <si>
    <t>vers</t>
  </si>
  <si>
    <t>vas</t>
  </si>
  <si>
    <t>Euh, vers sept heures</t>
  </si>
  <si>
    <t>D'accord, tu peux acheter du pain stp?</t>
  </si>
  <si>
    <t>J'en ai pas trouve au supermarche</t>
  </si>
  <si>
    <t>trouve, supermarche</t>
  </si>
  <si>
    <t>Okay, je vais en acheter avant de rentrer</t>
  </si>
  <si>
    <t>Mademoiselle, c'est ici?</t>
  </si>
  <si>
    <t>Euh, non, vous pouvez continuer un peu svp?</t>
  </si>
  <si>
    <t>Merci, a toute a l'heure!</t>
  </si>
  <si>
    <t>He mlle Nga, vous devez payer avant de partir!</t>
  </si>
  <si>
    <t>Haa desol2e!!</t>
  </si>
  <si>
    <t>C'est pas grave. Moi c'est Henri. Enchantee, je m'appelle Nga.</t>
  </si>
  <si>
    <t>C'est une amie?</t>
  </si>
  <si>
    <t>Oui, je vais habiter chez elle</t>
  </si>
  <si>
    <t>prime with I have found, I haven't found</t>
  </si>
  <si>
    <t>Total</t>
  </si>
  <si>
    <t>Monsieur</t>
  </si>
  <si>
    <t>Mademoiselle</t>
  </si>
  <si>
    <t>compris</t>
  </si>
  <si>
    <t>tard</t>
  </si>
  <si>
    <t>rentrer</t>
  </si>
  <si>
    <t>apres</t>
  </si>
  <si>
    <t>tout a l'heure</t>
  </si>
  <si>
    <t>heure</t>
  </si>
  <si>
    <t>quelle</t>
  </si>
  <si>
    <t>hut</t>
  </si>
  <si>
    <t>deja</t>
  </si>
  <si>
    <t>vite</t>
  </si>
  <si>
    <t>accent</t>
  </si>
  <si>
    <t>ans</t>
  </si>
  <si>
    <t>chauffeur</t>
  </si>
  <si>
    <t>longtemps</t>
  </si>
  <si>
    <t>etes+d'ou</t>
  </si>
  <si>
    <t>vietnamienne</t>
  </si>
  <si>
    <t>appris</t>
  </si>
  <si>
    <t>fait + temps</t>
  </si>
  <si>
    <t>pardon</t>
  </si>
  <si>
    <t>continuer + un peu</t>
  </si>
  <si>
    <t>Voila, ici, merci beaucoup, au revoir!</t>
  </si>
  <si>
    <t>voila</t>
  </si>
  <si>
    <t>payer</t>
  </si>
  <si>
    <t>enchante</t>
  </si>
  <si>
    <t>S10 - Paris 5 - En taxi vers Le Louvre</t>
  </si>
  <si>
    <t>Une amie te fait visiter Paris #5</t>
  </si>
  <si>
    <t>Warm up</t>
  </si>
  <si>
    <t>Prerecord key sentences and arrange them in order for a mini-dialogue-like experience</t>
  </si>
  <si>
    <t>Check clips leon</t>
  </si>
  <si>
    <t>(start lesson with drills like using new verbs at inf + many conjugations</t>
  </si>
  <si>
    <t>Make a flowchart or timeline with prototypical sentences and/or patterns succession</t>
  </si>
  <si>
    <t>Lesson techniques</t>
  </si>
  <si>
    <t>first introduce and drill froms that'll be used in context later. Ex: devez, devons, pouvez, etc. Maybe also nouns like heure, apres, etc</t>
  </si>
  <si>
    <t>Process</t>
  </si>
  <si>
    <t>Give sentences before lessons, either just sound files, but better with possibility to repeat SbS and showing/hide spelling (not Anki)</t>
  </si>
  <si>
    <t>Complete summary/next table with all new items actually learned during lesson</t>
  </si>
  <si>
    <t>Make graphs of items learned</t>
  </si>
  <si>
    <t>Orga</t>
  </si>
  <si>
    <t xml:space="preserve">Add drills like to be automatized (j'ai preprare du cafe, j'ai compris, j'ai pas compris, j'ai pas mange de chocolat, j'en </t>
  </si>
  <si>
    <t>always drill conjugations and useful verbs after first exposure</t>
  </si>
  <si>
    <t>Give new words for HW to prime next lesson? Or new audio?</t>
  </si>
  <si>
    <t>Content</t>
  </si>
  <si>
    <t>Give audio drills for patterns like 'en' (don't request output for now)</t>
  </si>
  <si>
    <t>BUTTON ONCLICK FILTERS KEPT SENTENCES
AND APPEND THEM TO ANKI SHEET</t>
  </si>
  <si>
    <t>BUTTON ONCLICK FETCH ANKI LESSONS # FROM PROMPT
AND CONCATENATED INTO CSV</t>
  </si>
  <si>
    <t>LESSONS # ?</t>
  </si>
  <si>
    <r>
      <t xml:space="preserve">↓↓↓ NEW SENTENCES PREVIEW </t>
    </r>
    <r>
      <rPr>
        <sz val="11"/>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</si>
</sst>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12" x14ac:knownFonts="1">
    <font>
      <sz val="11"/>
      <color theme="1"/>
      <name val="Calibri"/>
      <family val="2"/>
      <scheme val="minor"/>
    </font>
    <font>
      <b/>
      <sz val="11"/>
      <color theme="1"/>
      <name val="Calibri"/>
      <family val="2"/>
      <scheme val="minor"/>
    </font>
    <font>
      <i/>
      <sz val="11"/>
      <color theme="1"/>
      <name val="Calibri"/>
      <family val="2"/>
      <scheme val="minor"/>
    </font>
    <font>
      <sz val="11"/>
      <color theme="2"/>
      <name val="Calibri"/>
      <family val="2"/>
      <scheme val="minor"/>
    </font>
    <font>
      <sz val="11"/>
      <color rgb="FFFF0000"/>
      <name val="Calibri"/>
      <family val="2"/>
      <scheme val="minor"/>
    </font>
    <font>
      <b/>
      <sz val="24"/>
      <color theme="1"/>
      <name val="Arial"/>
      <family val="2"/>
    </font>
    <font>
      <sz val="11"/>
      <color theme="1"/>
      <name val="Calibri"/>
      <family val="2"/>
    </font>
    <font>
      <sz val="10"/>
      <color theme="1"/>
      <name val="Arial"/>
      <family val="2"/>
    </font>
    <font>
      <sz val="14"/>
      <color theme="1"/>
      <name val="Arial"/>
      <family val="2"/>
    </font>
    <font>
      <sz val="18"/>
      <color theme="1"/>
      <name val="Arial"/>
    </font>
    <font>
      <sz val="16"/>
      <color theme="1"/>
      <name val="Arial"/>
      <family val="2"/>
    </font>
    <font>
      <b/>
      <sz val="11"/>
      <color theme="1"/>
      <name val="Space Bd BT"/>
      <family val="5"/>
    </font>
  </fonts>
  <fills count="1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rgb="FFFFF2CC"/>
        <bgColor indexed="64"/>
      </patternFill>
    </fill>
    <fill>
      <patternFill patternType="solid">
        <fgColor rgb="FFD9D9D9"/>
        <bgColor indexed="64"/>
      </patternFill>
    </fill>
    <fill>
      <patternFill patternType="solid">
        <fgColor rgb="FFCFE2F3"/>
        <bgColor indexed="64"/>
      </patternFill>
    </fill>
    <fill>
      <patternFill patternType="solid">
        <fgColor rgb="FFD9EAD3"/>
        <bgColor indexed="64"/>
      </patternFill>
    </fill>
    <fill>
      <patternFill patternType="solid">
        <fgColor rgb="FFFFE1E1"/>
        <bgColor indexed="64"/>
      </patternFill>
    </fill>
    <fill>
      <patternFill patternType="solid">
        <fgColor rgb="FFF3F3F3"/>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indexed="64"/>
      </left>
      <right/>
      <top/>
      <bottom style="thin">
        <color indexed="64"/>
      </bottom>
      <diagonal/>
    </border>
    <border>
      <left style="thin">
        <color indexed="64"/>
      </left>
      <right style="medium">
        <color rgb="FFCCCCCC"/>
      </right>
      <top style="medium">
        <color indexed="64"/>
      </top>
      <bottom/>
      <diagonal/>
    </border>
    <border>
      <left style="medium">
        <color rgb="FFCCCCCC"/>
      </left>
      <right style="medium">
        <color rgb="FFCCCCCC"/>
      </right>
      <top style="medium">
        <color indexed="64"/>
      </top>
      <bottom/>
      <diagonal/>
    </border>
    <border>
      <left style="medium">
        <color rgb="FFCCCCCC"/>
      </left>
      <right style="thin">
        <color indexed="64"/>
      </right>
      <top style="medium">
        <color indexed="64"/>
      </top>
      <bottom/>
      <diagonal/>
    </border>
    <border>
      <left style="thin">
        <color indexed="64"/>
      </left>
      <right style="medium">
        <color rgb="FFCCCCCC"/>
      </right>
      <top/>
      <bottom/>
      <diagonal/>
    </border>
    <border>
      <left style="medium">
        <color rgb="FFCCCCCC"/>
      </left>
      <right style="medium">
        <color rgb="FFCCCCCC"/>
      </right>
      <top/>
      <bottom/>
      <diagonal/>
    </border>
    <border>
      <left style="medium">
        <color rgb="FFCCCCCC"/>
      </left>
      <right style="thin">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rgb="FFCCCCCC"/>
      </right>
      <top style="thin">
        <color indexed="64"/>
      </top>
      <bottom/>
      <diagonal/>
    </border>
    <border>
      <left style="medium">
        <color rgb="FFCCCCCC"/>
      </left>
      <right style="medium">
        <color rgb="FFCCCCCC"/>
      </right>
      <top style="thin">
        <color indexed="64"/>
      </top>
      <bottom/>
      <diagonal/>
    </border>
    <border>
      <left style="medium">
        <color rgb="FFCCCCCC"/>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rgb="FFCCCCCC"/>
      </right>
      <top style="medium">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s>
  <cellStyleXfs count="1">
    <xf numFmtId="0" fontId="0" fillId="0" borderId="0"/>
  </cellStyleXfs>
  <cellXfs count="253">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0" borderId="14" xfId="0" applyBorder="1"/>
    <xf numFmtId="0" fontId="0" fillId="0" borderId="0" xfId="0" applyAlignment="1">
      <alignment horizontal="center"/>
    </xf>
    <xf numFmtId="0" fontId="0" fillId="3" borderId="15" xfId="0" applyFill="1" applyBorder="1"/>
    <xf numFmtId="0" fontId="0" fillId="3" borderId="17" xfId="0" applyFill="1" applyBorder="1" applyAlignment="1">
      <alignment horizontal="center"/>
    </xf>
    <xf numFmtId="0" fontId="0" fillId="3" borderId="15" xfId="0" applyFill="1" applyBorder="1" applyAlignment="1">
      <alignment horizontal="center"/>
    </xf>
    <xf numFmtId="0" fontId="0" fillId="5" borderId="16" xfId="0" applyFill="1" applyBorder="1"/>
    <xf numFmtId="0" fontId="0" fillId="2" borderId="16" xfId="0" applyFill="1" applyBorder="1"/>
    <xf numFmtId="0" fontId="0" fillId="3" borderId="19" xfId="0" applyFill="1" applyBorder="1" applyAlignment="1">
      <alignment horizontal="center"/>
    </xf>
    <xf numFmtId="0" fontId="0" fillId="3" borderId="18" xfId="0" applyFill="1" applyBorder="1" applyAlignment="1">
      <alignment horizontal="center"/>
    </xf>
    <xf numFmtId="0" fontId="0" fillId="4" borderId="6" xfId="0" applyFill="1" applyBorder="1"/>
    <xf numFmtId="0" fontId="0" fillId="3" borderId="21" xfId="0" applyFill="1" applyBorder="1"/>
    <xf numFmtId="0" fontId="0" fillId="3" borderId="22" xfId="0" applyFill="1" applyBorder="1" applyAlignment="1">
      <alignment horizontal="center"/>
    </xf>
    <xf numFmtId="0" fontId="0" fillId="3" borderId="21" xfId="0" applyFill="1" applyBorder="1" applyAlignment="1">
      <alignment horizontal="center"/>
    </xf>
    <xf numFmtId="0" fontId="0" fillId="5" borderId="23" xfId="0" applyFill="1" applyBorder="1"/>
    <xf numFmtId="0" fontId="0" fillId="2" borderId="23" xfId="0" applyFill="1" applyBorder="1"/>
    <xf numFmtId="0" fontId="0" fillId="4" borderId="9" xfId="0" applyFill="1" applyBorder="1"/>
    <xf numFmtId="0" fontId="0" fillId="3" borderId="26" xfId="0" applyFill="1" applyBorder="1" applyAlignment="1">
      <alignment horizontal="center"/>
    </xf>
    <xf numFmtId="0" fontId="0" fillId="3" borderId="25" xfId="0" applyFill="1" applyBorder="1" applyAlignment="1">
      <alignment horizontal="center"/>
    </xf>
    <xf numFmtId="0" fontId="0" fillId="3" borderId="27" xfId="0" applyFill="1" applyBorder="1" applyAlignment="1">
      <alignment horizontal="center"/>
    </xf>
    <xf numFmtId="0" fontId="0" fillId="3" borderId="24"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6" borderId="6" xfId="0" applyFill="1" applyBorder="1"/>
    <xf numFmtId="0" fontId="0" fillId="6" borderId="9" xfId="0" applyFill="1" applyBorder="1"/>
    <xf numFmtId="0" fontId="0" fillId="6" borderId="0" xfId="0" quotePrefix="1" applyFill="1" applyBorder="1"/>
    <xf numFmtId="0" fontId="0" fillId="6" borderId="0" xfId="0" applyFill="1" applyBorder="1"/>
    <xf numFmtId="0" fontId="0" fillId="6" borderId="8" xfId="0" applyFill="1" applyBorder="1"/>
    <xf numFmtId="0" fontId="0" fillId="6" borderId="3" xfId="0" applyFill="1" applyBorder="1"/>
    <xf numFmtId="0" fontId="0" fillId="3" borderId="28" xfId="0" applyFill="1" applyBorder="1" applyAlignment="1">
      <alignment horizontal="center"/>
    </xf>
    <xf numFmtId="0" fontId="0" fillId="2" borderId="29" xfId="0" applyFill="1" applyBorder="1"/>
    <xf numFmtId="0" fontId="0" fillId="2" borderId="30" xfId="0" applyFill="1" applyBorder="1"/>
    <xf numFmtId="0" fontId="0" fillId="2" borderId="31" xfId="0" applyFill="1" applyBorder="1"/>
    <xf numFmtId="0" fontId="0" fillId="2" borderId="30" xfId="0" quotePrefix="1" applyFill="1" applyBorder="1"/>
    <xf numFmtId="0" fontId="0" fillId="2" borderId="15" xfId="0" applyFill="1" applyBorder="1"/>
    <xf numFmtId="0" fontId="0" fillId="0" borderId="27" xfId="0" applyBorder="1" applyAlignment="1">
      <alignment horizontal="center"/>
    </xf>
    <xf numFmtId="0" fontId="0" fillId="4" borderId="5" xfId="0" applyFill="1" applyBorder="1" applyAlignment="1">
      <alignment horizontal="center"/>
    </xf>
    <xf numFmtId="0" fontId="0" fillId="4" borderId="0"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5" borderId="20" xfId="0" applyFill="1" applyBorder="1"/>
    <xf numFmtId="0" fontId="0" fillId="2" borderId="20" xfId="0" applyFill="1" applyBorder="1"/>
    <xf numFmtId="0" fontId="0" fillId="4" borderId="4" xfId="0" applyFill="1" applyBorder="1"/>
    <xf numFmtId="0" fontId="0" fillId="3" borderId="1" xfId="0" applyFill="1" applyBorder="1" applyAlignment="1">
      <alignment horizontal="center"/>
    </xf>
    <xf numFmtId="0" fontId="0" fillId="4" borderId="10" xfId="0" applyFill="1" applyBorder="1"/>
    <xf numFmtId="0" fontId="0" fillId="4" borderId="11" xfId="0" applyFill="1" applyBorder="1"/>
    <xf numFmtId="0" fontId="0" fillId="4" borderId="12" xfId="0" applyFill="1" applyBorder="1"/>
    <xf numFmtId="0" fontId="0" fillId="7" borderId="0" xfId="0" applyFill="1"/>
    <xf numFmtId="0" fontId="3" fillId="7" borderId="0" xfId="0" applyFont="1" applyFill="1"/>
    <xf numFmtId="0" fontId="3" fillId="7" borderId="0" xfId="0" applyFont="1" applyFill="1" applyAlignment="1">
      <alignment horizontal="center"/>
    </xf>
    <xf numFmtId="0" fontId="0" fillId="7" borderId="0" xfId="0" applyFill="1" applyAlignment="1">
      <alignment horizontal="center"/>
    </xf>
    <xf numFmtId="0" fontId="1" fillId="6" borderId="3" xfId="0" applyFont="1" applyFill="1" applyBorder="1"/>
    <xf numFmtId="0" fontId="0" fillId="4" borderId="2" xfId="0" applyFill="1" applyBorder="1" applyAlignment="1">
      <alignment horizontal="center"/>
    </xf>
    <xf numFmtId="0" fontId="0" fillId="4" borderId="3" xfId="0" applyFill="1" applyBorder="1" applyAlignment="1">
      <alignment horizontal="center"/>
    </xf>
    <xf numFmtId="0" fontId="0" fillId="0" borderId="0" xfId="0" quotePrefix="1"/>
    <xf numFmtId="0" fontId="0" fillId="5" borderId="15" xfId="0" applyFill="1" applyBorder="1"/>
    <xf numFmtId="0" fontId="0" fillId="5" borderId="21" xfId="0" applyFill="1" applyBorder="1"/>
    <xf numFmtId="0" fontId="0" fillId="4" borderId="32" xfId="0" applyFill="1" applyBorder="1"/>
    <xf numFmtId="0" fontId="0" fillId="4" borderId="17" xfId="0" applyFill="1" applyBorder="1" applyAlignment="1">
      <alignment horizontal="center"/>
    </xf>
    <xf numFmtId="0" fontId="0" fillId="6" borderId="15" xfId="0" applyFill="1" applyBorder="1"/>
    <xf numFmtId="0" fontId="0" fillId="6" borderId="18" xfId="0" applyFill="1" applyBorder="1"/>
    <xf numFmtId="0" fontId="0" fillId="4" borderId="19" xfId="0" applyFill="1" applyBorder="1" applyAlignment="1">
      <alignment horizontal="center"/>
    </xf>
    <xf numFmtId="0" fontId="0" fillId="6" borderId="21" xfId="0" applyFill="1" applyBorder="1"/>
    <xf numFmtId="0" fontId="0" fillId="3" borderId="14" xfId="0" applyFill="1" applyBorder="1"/>
    <xf numFmtId="0" fontId="0" fillId="6" borderId="17" xfId="0" applyFill="1" applyBorder="1"/>
    <xf numFmtId="0" fontId="0" fillId="6" borderId="22" xfId="0" applyFill="1" applyBorder="1"/>
    <xf numFmtId="0" fontId="0" fillId="6" borderId="16" xfId="0" applyFill="1" applyBorder="1"/>
    <xf numFmtId="0" fontId="0" fillId="6" borderId="20" xfId="0" applyFill="1" applyBorder="1"/>
    <xf numFmtId="0" fontId="0" fillId="6" borderId="23" xfId="0" applyFill="1" applyBorder="1"/>
    <xf numFmtId="0" fontId="0" fillId="6" borderId="19" xfId="0" applyFill="1" applyBorder="1"/>
    <xf numFmtId="0" fontId="0" fillId="7" borderId="29" xfId="0" applyFill="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4" borderId="16" xfId="0" applyFill="1" applyBorder="1" applyAlignment="1">
      <alignment horizontal="center"/>
    </xf>
    <xf numFmtId="0" fontId="0" fillId="4" borderId="23" xfId="0" applyFill="1" applyBorder="1" applyAlignment="1">
      <alignment horizontal="center"/>
    </xf>
    <xf numFmtId="0" fontId="0" fillId="4" borderId="20" xfId="0" applyFill="1" applyBorder="1" applyAlignment="1">
      <alignment horizontal="center"/>
    </xf>
    <xf numFmtId="0" fontId="0" fillId="2" borderId="16" xfId="0" applyFont="1" applyFill="1" applyBorder="1"/>
    <xf numFmtId="0" fontId="0" fillId="6" borderId="17" xfId="0" quotePrefix="1" applyFill="1" applyBorder="1"/>
    <xf numFmtId="0" fontId="0" fillId="7" borderId="5" xfId="0" applyFill="1" applyBorder="1" applyAlignment="1">
      <alignment horizontal="center"/>
    </xf>
    <xf numFmtId="0" fontId="0" fillId="7" borderId="7" xfId="0" applyFill="1" applyBorder="1" applyAlignment="1">
      <alignment horizontal="center"/>
    </xf>
    <xf numFmtId="0" fontId="0" fillId="2" borderId="21" xfId="0" applyFill="1" applyBorder="1"/>
    <xf numFmtId="0" fontId="2" fillId="2" borderId="15" xfId="0" applyFont="1" applyFill="1" applyBorder="1"/>
    <xf numFmtId="0" fontId="0" fillId="2" borderId="18" xfId="0" applyFill="1" applyBorder="1"/>
    <xf numFmtId="0" fontId="0" fillId="2" borderId="15" xfId="0" applyFont="1" applyFill="1" applyBorder="1"/>
    <xf numFmtId="0" fontId="0" fillId="7" borderId="6" xfId="0" applyFill="1" applyBorder="1" applyAlignment="1">
      <alignment horizontal="center"/>
    </xf>
    <xf numFmtId="0" fontId="0" fillId="7" borderId="9" xfId="0" applyFill="1" applyBorder="1" applyAlignment="1">
      <alignment horizontal="center"/>
    </xf>
    <xf numFmtId="0" fontId="0" fillId="6" borderId="23" xfId="0" quotePrefix="1" applyFill="1" applyBorder="1"/>
    <xf numFmtId="0" fontId="1" fillId="4" borderId="6" xfId="0" applyFont="1" applyFill="1" applyBorder="1"/>
    <xf numFmtId="0" fontId="0" fillId="6" borderId="18" xfId="0" applyFill="1" applyBorder="1" applyAlignment="1">
      <alignment horizontal="center"/>
    </xf>
    <xf numFmtId="0" fontId="0" fillId="6" borderId="15" xfId="0" applyFill="1" applyBorder="1" applyAlignment="1">
      <alignment horizontal="center"/>
    </xf>
    <xf numFmtId="0" fontId="0" fillId="6" borderId="21" xfId="0" applyFill="1" applyBorder="1" applyAlignment="1">
      <alignment horizontal="center"/>
    </xf>
    <xf numFmtId="0" fontId="0" fillId="7" borderId="33" xfId="0" applyFill="1" applyBorder="1" applyAlignment="1">
      <alignment horizontal="center"/>
    </xf>
    <xf numFmtId="0" fontId="0" fillId="2" borderId="34" xfId="0" applyFill="1" applyBorder="1"/>
    <xf numFmtId="0" fontId="0" fillId="6" borderId="34" xfId="0" applyFill="1" applyBorder="1"/>
    <xf numFmtId="0" fontId="0" fillId="6" borderId="34" xfId="0" applyFill="1" applyBorder="1" applyAlignment="1">
      <alignment horizontal="center"/>
    </xf>
    <xf numFmtId="0" fontId="0" fillId="4" borderId="35" xfId="0" applyFill="1" applyBorder="1" applyAlignment="1">
      <alignment horizontal="center"/>
    </xf>
    <xf numFmtId="0" fontId="0" fillId="4" borderId="36" xfId="0" applyFill="1" applyBorder="1" applyAlignment="1">
      <alignment horizontal="center"/>
    </xf>
    <xf numFmtId="0" fontId="0" fillId="4" borderId="37" xfId="0" applyFill="1" applyBorder="1"/>
    <xf numFmtId="0" fontId="1" fillId="2" borderId="15" xfId="0" applyFont="1" applyFill="1" applyBorder="1"/>
    <xf numFmtId="0" fontId="1" fillId="6" borderId="15" xfId="0" applyFont="1" applyFill="1" applyBorder="1"/>
    <xf numFmtId="0" fontId="0" fillId="2" borderId="34" xfId="0" applyFont="1" applyFill="1" applyBorder="1"/>
    <xf numFmtId="0" fontId="0" fillId="0" borderId="35" xfId="0" applyBorder="1"/>
    <xf numFmtId="0" fontId="0" fillId="5" borderId="16" xfId="0" applyFill="1" applyBorder="1" applyAlignment="1">
      <alignment wrapText="1"/>
    </xf>
    <xf numFmtId="0" fontId="0" fillId="2" borderId="16" xfId="0" applyFill="1" applyBorder="1" applyAlignment="1">
      <alignment wrapText="1"/>
    </xf>
    <xf numFmtId="0" fontId="0" fillId="5" borderId="15" xfId="0" applyFill="1" applyBorder="1" applyAlignment="1">
      <alignment wrapText="1"/>
    </xf>
    <xf numFmtId="0" fontId="0" fillId="3" borderId="18" xfId="0" applyFill="1" applyBorder="1" applyAlignment="1">
      <alignment horizontal="center" vertical="center"/>
    </xf>
    <xf numFmtId="0" fontId="0" fillId="3" borderId="15" xfId="0" applyFill="1" applyBorder="1" applyAlignment="1">
      <alignment horizontal="center" vertical="center"/>
    </xf>
    <xf numFmtId="0" fontId="0" fillId="3" borderId="21" xfId="0" applyFill="1" applyBorder="1" applyAlignment="1">
      <alignment horizontal="center" vertical="center"/>
    </xf>
    <xf numFmtId="0" fontId="0" fillId="0" borderId="0" xfId="0" applyAlignment="1">
      <alignment horizontal="left"/>
    </xf>
    <xf numFmtId="0" fontId="0" fillId="4" borderId="6" xfId="0" applyFill="1" applyBorder="1" applyAlignment="1"/>
    <xf numFmtId="0" fontId="4" fillId="6" borderId="15" xfId="0" applyFont="1" applyFill="1" applyBorder="1"/>
    <xf numFmtId="0" fontId="1" fillId="2" borderId="18" xfId="0" applyFont="1" applyFill="1" applyBorder="1"/>
    <xf numFmtId="0" fontId="1" fillId="6" borderId="18" xfId="0" applyFont="1" applyFill="1" applyBorder="1"/>
    <xf numFmtId="16" fontId="0" fillId="2" borderId="15" xfId="0" applyNumberFormat="1" applyFont="1" applyFill="1" applyBorder="1"/>
    <xf numFmtId="0" fontId="0" fillId="7" borderId="2" xfId="0" applyFill="1" applyBorder="1" applyAlignment="1">
      <alignment horizontal="center"/>
    </xf>
    <xf numFmtId="0" fontId="5" fillId="8" borderId="39" xfId="0" applyFont="1" applyFill="1" applyBorder="1" applyAlignment="1">
      <alignment horizontal="center"/>
    </xf>
    <xf numFmtId="0" fontId="5" fillId="8" borderId="40" xfId="0" applyFont="1" applyFill="1" applyBorder="1" applyAlignment="1">
      <alignment horizontal="center" vertical="center"/>
    </xf>
    <xf numFmtId="0" fontId="5" fillId="8" borderId="40" xfId="0" applyFont="1" applyFill="1" applyBorder="1" applyAlignment="1">
      <alignment horizontal="center"/>
    </xf>
    <xf numFmtId="0" fontId="5" fillId="9" borderId="40" xfId="0" applyFont="1" applyFill="1" applyBorder="1" applyAlignment="1">
      <alignment horizontal="center" vertical="center"/>
    </xf>
    <xf numFmtId="0" fontId="5" fillId="9" borderId="39" xfId="0" applyFont="1" applyFill="1" applyBorder="1" applyAlignment="1">
      <alignment horizontal="center" vertical="center"/>
    </xf>
    <xf numFmtId="0" fontId="5" fillId="9" borderId="39" xfId="0" applyFont="1" applyFill="1" applyBorder="1" applyAlignment="1">
      <alignment vertical="center"/>
    </xf>
    <xf numFmtId="0" fontId="7" fillId="12" borderId="40" xfId="0" applyFont="1" applyFill="1" applyBorder="1" applyAlignment="1">
      <alignment vertical="center"/>
    </xf>
    <xf numFmtId="0" fontId="7" fillId="12" borderId="40" xfId="0" applyFont="1" applyFill="1" applyBorder="1" applyAlignment="1"/>
    <xf numFmtId="0" fontId="7" fillId="13" borderId="39" xfId="0" applyFont="1" applyFill="1" applyBorder="1" applyAlignment="1"/>
    <xf numFmtId="0" fontId="7" fillId="9" borderId="40" xfId="0" applyFont="1" applyFill="1" applyBorder="1" applyAlignment="1">
      <alignment horizontal="center" vertical="center"/>
    </xf>
    <xf numFmtId="0" fontId="7" fillId="9" borderId="39" xfId="0" applyFont="1" applyFill="1" applyBorder="1" applyAlignment="1">
      <alignment horizontal="center" vertical="center"/>
    </xf>
    <xf numFmtId="0" fontId="7" fillId="9" borderId="39" xfId="0" applyFont="1" applyFill="1" applyBorder="1" applyAlignment="1">
      <alignment vertical="center"/>
    </xf>
    <xf numFmtId="0" fontId="7" fillId="12" borderId="40" xfId="0" applyFont="1" applyFill="1" applyBorder="1" applyAlignment="1">
      <alignment horizontal="center" vertical="center"/>
    </xf>
    <xf numFmtId="0" fontId="0" fillId="0" borderId="0" xfId="0" applyAlignment="1"/>
    <xf numFmtId="0" fontId="0" fillId="14" borderId="0" xfId="0" applyFill="1"/>
    <xf numFmtId="0" fontId="0" fillId="5" borderId="0" xfId="0" applyFill="1"/>
    <xf numFmtId="0" fontId="5" fillId="3" borderId="38" xfId="0" applyFont="1" applyFill="1" applyBorder="1" applyAlignment="1">
      <alignment horizontal="center"/>
    </xf>
    <xf numFmtId="0" fontId="4" fillId="0" borderId="0" xfId="0" applyFont="1"/>
    <xf numFmtId="0" fontId="0" fillId="7" borderId="15" xfId="0" applyFill="1" applyBorder="1" applyAlignment="1">
      <alignment horizontal="center"/>
    </xf>
    <xf numFmtId="0" fontId="0" fillId="7" borderId="18" xfId="0" applyFill="1" applyBorder="1" applyAlignment="1">
      <alignment horizontal="center"/>
    </xf>
    <xf numFmtId="0" fontId="0" fillId="7" borderId="34" xfId="0" applyFill="1" applyBorder="1" applyAlignment="1">
      <alignment horizontal="center"/>
    </xf>
    <xf numFmtId="0" fontId="2" fillId="2" borderId="34" xfId="0" applyFont="1" applyFill="1" applyBorder="1"/>
    <xf numFmtId="0" fontId="1" fillId="0" borderId="0" xfId="0" applyFont="1"/>
    <xf numFmtId="0" fontId="0" fillId="4" borderId="15" xfId="0" applyFont="1" applyFill="1" applyBorder="1"/>
    <xf numFmtId="0" fontId="0" fillId="4" borderId="15" xfId="0" applyFill="1" applyBorder="1"/>
    <xf numFmtId="0" fontId="0" fillId="7" borderId="2" xfId="0" applyFill="1" applyBorder="1" applyAlignment="1">
      <alignment horizontal="center"/>
    </xf>
    <xf numFmtId="1" fontId="0" fillId="0" borderId="0" xfId="0" applyNumberFormat="1" applyAlignment="1"/>
    <xf numFmtId="0" fontId="0" fillId="7" borderId="41" xfId="0" applyFill="1" applyBorder="1" applyAlignment="1">
      <alignment horizontal="center"/>
    </xf>
    <xf numFmtId="0" fontId="0" fillId="4" borderId="9" xfId="0" applyFill="1" applyBorder="1" applyAlignment="1"/>
    <xf numFmtId="0" fontId="0" fillId="3" borderId="2"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164" fontId="0" fillId="3" borderId="3" xfId="0" applyNumberFormat="1" applyFill="1" applyBorder="1" applyAlignment="1">
      <alignment horizontal="center" vertical="center"/>
    </xf>
    <xf numFmtId="164" fontId="0" fillId="3" borderId="0" xfId="0" applyNumberFormat="1" applyFill="1" applyBorder="1" applyAlignment="1">
      <alignment horizontal="center" vertical="center"/>
    </xf>
    <xf numFmtId="164" fontId="0" fillId="3" borderId="8" xfId="0" applyNumberFormat="1" applyFill="1" applyBorder="1" applyAlignment="1">
      <alignment horizontal="center" vertical="center"/>
    </xf>
    <xf numFmtId="0" fontId="0" fillId="7" borderId="2" xfId="0" applyFill="1" applyBorder="1" applyAlignment="1">
      <alignment horizontal="center"/>
    </xf>
    <xf numFmtId="0" fontId="0" fillId="7" borderId="4" xfId="0" applyFill="1" applyBorder="1" applyAlignment="1">
      <alignment horizontal="center"/>
    </xf>
    <xf numFmtId="164" fontId="0" fillId="3" borderId="18" xfId="0" applyNumberFormat="1" applyFill="1" applyBorder="1" applyAlignment="1">
      <alignment horizontal="center" vertical="center"/>
    </xf>
    <xf numFmtId="164" fontId="0" fillId="3" borderId="15" xfId="0" applyNumberFormat="1" applyFill="1" applyBorder="1" applyAlignment="1">
      <alignment horizontal="center" vertical="center"/>
    </xf>
    <xf numFmtId="0" fontId="7" fillId="12" borderId="42" xfId="0" applyFont="1" applyFill="1" applyBorder="1" applyAlignment="1">
      <alignment horizontal="center" vertical="center"/>
    </xf>
    <xf numFmtId="0" fontId="7" fillId="12" borderId="43" xfId="0" applyFont="1" applyFill="1" applyBorder="1" applyAlignment="1">
      <alignment vertical="center"/>
    </xf>
    <xf numFmtId="0" fontId="7" fillId="12" borderId="44" xfId="0" applyFont="1" applyFill="1" applyBorder="1"/>
    <xf numFmtId="0" fontId="7" fillId="13" borderId="18" xfId="0" applyFont="1" applyFill="1" applyBorder="1"/>
    <xf numFmtId="165" fontId="7" fillId="9" borderId="20" xfId="0" applyNumberFormat="1" applyFont="1" applyFill="1" applyBorder="1" applyAlignment="1">
      <alignment horizontal="center" vertical="center"/>
    </xf>
    <xf numFmtId="165" fontId="7" fillId="9" borderId="18" xfId="0" applyNumberFormat="1" applyFont="1" applyFill="1" applyBorder="1" applyAlignment="1">
      <alignment horizontal="center" vertical="center"/>
    </xf>
    <xf numFmtId="0" fontId="7" fillId="9" borderId="20" xfId="0" applyFont="1" applyFill="1" applyBorder="1" applyAlignment="1">
      <alignment vertical="center"/>
    </xf>
    <xf numFmtId="0" fontId="7" fillId="9" borderId="4" xfId="0" applyFont="1" applyFill="1" applyBorder="1" applyAlignment="1">
      <alignment vertical="center"/>
    </xf>
    <xf numFmtId="0" fontId="7" fillId="12" borderId="45" xfId="0" applyFont="1" applyFill="1" applyBorder="1" applyAlignment="1">
      <alignment horizontal="center" vertical="center"/>
    </xf>
    <xf numFmtId="0" fontId="7" fillId="12" borderId="46" xfId="0" applyFont="1" applyFill="1" applyBorder="1" applyAlignment="1">
      <alignment vertical="center"/>
    </xf>
    <xf numFmtId="0" fontId="7" fillId="12" borderId="47" xfId="0" applyFont="1" applyFill="1" applyBorder="1"/>
    <xf numFmtId="0" fontId="7" fillId="13" borderId="15" xfId="0" applyFont="1" applyFill="1" applyBorder="1"/>
    <xf numFmtId="165" fontId="7" fillId="9" borderId="16" xfId="0" applyNumberFormat="1" applyFont="1" applyFill="1" applyBorder="1" applyAlignment="1">
      <alignment horizontal="center" vertical="center"/>
    </xf>
    <xf numFmtId="165" fontId="7" fillId="9" borderId="15" xfId="0" applyNumberFormat="1" applyFont="1" applyFill="1" applyBorder="1" applyAlignment="1">
      <alignment horizontal="center" vertical="center"/>
    </xf>
    <xf numFmtId="0" fontId="7" fillId="9" borderId="16" xfId="0" applyFont="1" applyFill="1" applyBorder="1" applyAlignment="1">
      <alignment vertical="center"/>
    </xf>
    <xf numFmtId="0" fontId="7" fillId="9" borderId="6" xfId="0" applyFont="1" applyFill="1" applyBorder="1" applyAlignment="1">
      <alignment vertical="center"/>
    </xf>
    <xf numFmtId="0" fontId="8" fillId="13" borderId="15" xfId="0" applyFont="1" applyFill="1" applyBorder="1" applyAlignment="1">
      <alignment horizontal="center"/>
    </xf>
    <xf numFmtId="0" fontId="7" fillId="12" borderId="18" xfId="0" applyFont="1" applyFill="1" applyBorder="1"/>
    <xf numFmtId="0" fontId="7" fillId="9" borderId="18" xfId="0" applyFont="1" applyFill="1" applyBorder="1" applyAlignment="1">
      <alignment vertical="center"/>
    </xf>
    <xf numFmtId="0" fontId="7" fillId="12" borderId="0" xfId="0" applyFont="1" applyFill="1" applyAlignment="1">
      <alignment horizontal="center" vertical="center"/>
    </xf>
    <xf numFmtId="0" fontId="6" fillId="12" borderId="0" xfId="0" applyFont="1" applyFill="1" applyAlignment="1">
      <alignment horizontal="center" vertical="center"/>
    </xf>
    <xf numFmtId="0" fontId="7" fillId="12" borderId="15" xfId="0" applyFont="1" applyFill="1" applyBorder="1"/>
    <xf numFmtId="0" fontId="7" fillId="9" borderId="15" xfId="0" applyFont="1" applyFill="1" applyBorder="1" applyAlignment="1">
      <alignment vertical="center"/>
    </xf>
    <xf numFmtId="0" fontId="7" fillId="12" borderId="0" xfId="0" applyFont="1" applyFill="1" applyAlignment="1">
      <alignment vertical="center"/>
    </xf>
    <xf numFmtId="0" fontId="7" fillId="12" borderId="8" xfId="0" applyFont="1" applyFill="1" applyBorder="1" applyAlignment="1">
      <alignment horizontal="center" vertical="center"/>
    </xf>
    <xf numFmtId="0" fontId="7" fillId="12" borderId="8" xfId="0" applyFont="1" applyFill="1" applyBorder="1" applyAlignment="1">
      <alignment vertical="center"/>
    </xf>
    <xf numFmtId="0" fontId="7" fillId="12" borderId="21" xfId="0" applyFont="1" applyFill="1" applyBorder="1"/>
    <xf numFmtId="0" fontId="7" fillId="13" borderId="21" xfId="0" applyFont="1" applyFill="1" applyBorder="1"/>
    <xf numFmtId="165" fontId="7" fillId="9" borderId="21" xfId="0" applyNumberFormat="1" applyFont="1" applyFill="1" applyBorder="1" applyAlignment="1">
      <alignment horizontal="center" vertical="center"/>
    </xf>
    <xf numFmtId="0" fontId="7" fillId="9" borderId="21" xfId="0" applyFont="1" applyFill="1" applyBorder="1" applyAlignment="1">
      <alignment vertical="center"/>
    </xf>
    <xf numFmtId="0" fontId="7" fillId="9" borderId="9" xfId="0" applyFont="1" applyFill="1" applyBorder="1" applyAlignment="1">
      <alignment vertical="center"/>
    </xf>
    <xf numFmtId="0" fontId="7" fillId="12" borderId="3" xfId="0" applyFont="1" applyFill="1" applyBorder="1" applyAlignment="1">
      <alignment horizontal="center" vertical="center"/>
    </xf>
    <xf numFmtId="0" fontId="7" fillId="12" borderId="3" xfId="0" applyFont="1" applyFill="1" applyBorder="1" applyAlignment="1">
      <alignment vertical="center"/>
    </xf>
    <xf numFmtId="0" fontId="8" fillId="13" borderId="21" xfId="0" applyFont="1" applyFill="1" applyBorder="1" applyAlignment="1">
      <alignment horizontal="center"/>
    </xf>
    <xf numFmtId="0" fontId="7" fillId="12" borderId="17" xfId="0" applyFont="1" applyFill="1" applyBorder="1" applyAlignment="1">
      <alignment horizontal="center" vertical="center"/>
    </xf>
    <xf numFmtId="0" fontId="7" fillId="12" borderId="22" xfId="0" applyFont="1" applyFill="1" applyBorder="1" applyAlignment="1">
      <alignment horizontal="center" vertical="center"/>
    </xf>
    <xf numFmtId="165" fontId="7" fillId="9" borderId="23" xfId="0" applyNumberFormat="1" applyFont="1" applyFill="1" applyBorder="1" applyAlignment="1">
      <alignment horizontal="center" vertical="center"/>
    </xf>
    <xf numFmtId="0" fontId="7" fillId="9" borderId="23" xfId="0" applyFont="1" applyFill="1" applyBorder="1" applyAlignment="1">
      <alignment vertical="center"/>
    </xf>
    <xf numFmtId="0" fontId="0" fillId="15" borderId="15" xfId="0" applyFont="1" applyFill="1" applyBorder="1"/>
    <xf numFmtId="0" fontId="4" fillId="2" borderId="15" xfId="0" applyFont="1" applyFill="1" applyBorder="1"/>
    <xf numFmtId="0" fontId="0" fillId="7" borderId="48" xfId="0" applyFill="1" applyBorder="1" applyAlignment="1">
      <alignment horizontal="center" vertical="center"/>
    </xf>
    <xf numFmtId="0" fontId="0" fillId="7" borderId="11" xfId="0" applyFill="1" applyBorder="1" applyAlignment="1">
      <alignment horizontal="center" vertical="center"/>
    </xf>
    <xf numFmtId="0" fontId="0" fillId="7" borderId="49" xfId="0" applyFill="1" applyBorder="1" applyAlignment="1">
      <alignment horizontal="center" vertical="center"/>
    </xf>
    <xf numFmtId="0" fontId="9" fillId="5" borderId="0" xfId="0" applyFont="1" applyFill="1"/>
    <xf numFmtId="0" fontId="9" fillId="5" borderId="0" xfId="0" applyFont="1" applyFill="1" applyAlignment="1">
      <alignment horizontal="left"/>
    </xf>
    <xf numFmtId="0" fontId="9" fillId="5" borderId="0" xfId="0" applyNumberFormat="1" applyFont="1" applyFill="1"/>
    <xf numFmtId="0" fontId="7" fillId="12" borderId="51" xfId="0" applyFont="1" applyFill="1" applyBorder="1" applyAlignment="1">
      <alignment horizontal="center" vertical="center"/>
    </xf>
    <xf numFmtId="0" fontId="7" fillId="12" borderId="52" xfId="0" applyFont="1" applyFill="1" applyBorder="1" applyAlignment="1">
      <alignment vertical="center"/>
    </xf>
    <xf numFmtId="0" fontId="7" fillId="12" borderId="53" xfId="0" applyFont="1" applyFill="1" applyBorder="1"/>
    <xf numFmtId="0" fontId="7" fillId="13" borderId="54" xfId="0" applyFont="1" applyFill="1" applyBorder="1"/>
    <xf numFmtId="165" fontId="7" fillId="9" borderId="50" xfId="0" applyNumberFormat="1" applyFont="1" applyFill="1" applyBorder="1" applyAlignment="1">
      <alignment horizontal="center" vertical="center"/>
    </xf>
    <xf numFmtId="165" fontId="7" fillId="9" borderId="54" xfId="0" applyNumberFormat="1" applyFont="1" applyFill="1" applyBorder="1" applyAlignment="1">
      <alignment horizontal="center" vertical="center"/>
    </xf>
    <xf numFmtId="0" fontId="7" fillId="9" borderId="50" xfId="0" applyFont="1" applyFill="1" applyBorder="1" applyAlignment="1">
      <alignment vertical="center"/>
    </xf>
    <xf numFmtId="0" fontId="7" fillId="12" borderId="0" xfId="0" applyFont="1" applyFill="1" applyBorder="1" applyAlignment="1">
      <alignment vertical="center"/>
    </xf>
    <xf numFmtId="0" fontId="7" fillId="13" borderId="16" xfId="0" applyFont="1" applyFill="1" applyBorder="1"/>
    <xf numFmtId="0" fontId="8" fillId="13" borderId="16" xfId="0" applyFont="1" applyFill="1" applyBorder="1" applyAlignment="1">
      <alignment horizontal="center"/>
    </xf>
    <xf numFmtId="0" fontId="7" fillId="12" borderId="19" xfId="0" applyFont="1" applyFill="1" applyBorder="1" applyAlignment="1">
      <alignment horizontal="center" vertical="center"/>
    </xf>
    <xf numFmtId="0" fontId="7" fillId="13" borderId="20" xfId="0" applyFont="1" applyFill="1" applyBorder="1"/>
    <xf numFmtId="0" fontId="7" fillId="9" borderId="55" xfId="0" applyFont="1" applyFill="1" applyBorder="1" applyAlignment="1">
      <alignment vertical="center"/>
    </xf>
    <xf numFmtId="0" fontId="7" fillId="9" borderId="32" xfId="0" applyFont="1" applyFill="1" applyBorder="1" applyAlignment="1">
      <alignment vertical="center"/>
    </xf>
    <xf numFmtId="0" fontId="7" fillId="13" borderId="23" xfId="0" applyFont="1" applyFill="1" applyBorder="1"/>
    <xf numFmtId="0" fontId="7" fillId="9" borderId="56" xfId="0" applyFont="1" applyFill="1" applyBorder="1" applyAlignment="1">
      <alignment vertical="center"/>
    </xf>
    <xf numFmtId="0" fontId="6" fillId="12" borderId="0" xfId="0" applyFont="1" applyFill="1" applyBorder="1" applyAlignment="1">
      <alignment horizontal="center" vertical="center"/>
    </xf>
    <xf numFmtId="0" fontId="8" fillId="13" borderId="16" xfId="0" applyFont="1" applyFill="1" applyBorder="1" applyAlignment="1">
      <alignment horizontal="center" vertical="center"/>
    </xf>
    <xf numFmtId="0" fontId="8" fillId="13" borderId="20" xfId="0" applyFont="1" applyFill="1" applyBorder="1" applyAlignment="1">
      <alignment horizontal="center"/>
    </xf>
    <xf numFmtId="0" fontId="6" fillId="12" borderId="8" xfId="0" applyFont="1" applyFill="1" applyBorder="1" applyAlignment="1">
      <alignment horizontal="center" vertical="center"/>
    </xf>
    <xf numFmtId="0" fontId="5" fillId="8" borderId="29" xfId="0" applyFont="1" applyFill="1" applyBorder="1" applyAlignment="1">
      <alignment horizontal="center"/>
    </xf>
    <xf numFmtId="0" fontId="5" fillId="8" borderId="20" xfId="0" applyFont="1" applyFill="1" applyBorder="1" applyAlignment="1">
      <alignment horizontal="center"/>
    </xf>
    <xf numFmtId="0" fontId="5" fillId="8" borderId="57" xfId="0" applyFont="1" applyFill="1" applyBorder="1" applyAlignment="1">
      <alignment horizontal="center" vertical="center"/>
    </xf>
    <xf numFmtId="0" fontId="5" fillId="8" borderId="43" xfId="0" applyFont="1" applyFill="1" applyBorder="1" applyAlignment="1">
      <alignment horizontal="center" vertical="center"/>
    </xf>
    <xf numFmtId="0" fontId="5" fillId="8" borderId="43" xfId="0" applyFont="1" applyFill="1" applyBorder="1" applyAlignment="1">
      <alignment horizontal="center"/>
    </xf>
    <xf numFmtId="0" fontId="5" fillId="8" borderId="44" xfId="0" applyFont="1" applyFill="1" applyBorder="1" applyAlignment="1">
      <alignment horizontal="center"/>
    </xf>
    <xf numFmtId="1" fontId="5" fillId="9" borderId="20" xfId="0" applyNumberFormat="1" applyFont="1" applyFill="1" applyBorder="1" applyAlignment="1">
      <alignment horizontal="center" vertical="center"/>
    </xf>
    <xf numFmtId="0" fontId="5" fillId="9" borderId="18" xfId="0" applyFont="1" applyFill="1" applyBorder="1" applyAlignment="1">
      <alignment horizontal="center" vertical="center"/>
    </xf>
    <xf numFmtId="0" fontId="5" fillId="9" borderId="20" xfId="0" applyFont="1" applyFill="1" applyBorder="1" applyAlignment="1">
      <alignment vertical="center"/>
    </xf>
    <xf numFmtId="0" fontId="5" fillId="9" borderId="4" xfId="0" applyFont="1" applyFill="1" applyBorder="1" applyAlignment="1">
      <alignment horizontal="center" vertical="center"/>
    </xf>
    <xf numFmtId="0" fontId="7" fillId="9" borderId="59" xfId="0" applyFont="1" applyFill="1" applyBorder="1" applyAlignment="1">
      <alignment vertical="center"/>
    </xf>
    <xf numFmtId="0" fontId="10" fillId="10" borderId="30" xfId="0" applyFont="1" applyFill="1" applyBorder="1"/>
    <xf numFmtId="0" fontId="10" fillId="11" borderId="16" xfId="0" applyFont="1" applyFill="1" applyBorder="1"/>
    <xf numFmtId="0" fontId="10" fillId="10" borderId="31" xfId="0" applyFont="1" applyFill="1" applyBorder="1"/>
    <xf numFmtId="0" fontId="10" fillId="11" borderId="23" xfId="0" applyFont="1" applyFill="1" applyBorder="1"/>
    <xf numFmtId="0" fontId="10" fillId="10" borderId="29" xfId="0" applyFont="1" applyFill="1" applyBorder="1"/>
    <xf numFmtId="0" fontId="10" fillId="11" borderId="20" xfId="0" applyFont="1" applyFill="1" applyBorder="1"/>
    <xf numFmtId="0" fontId="10" fillId="10" borderId="58" xfId="0" applyFont="1" applyFill="1" applyBorder="1"/>
    <xf numFmtId="0" fontId="10" fillId="11" borderId="50" xfId="0" applyFont="1" applyFill="1" applyBorder="1"/>
    <xf numFmtId="0" fontId="10" fillId="11" borderId="15" xfId="0" applyFont="1" applyFill="1" applyBorder="1"/>
    <xf numFmtId="0" fontId="10" fillId="10" borderId="16" xfId="0" applyFont="1" applyFill="1" applyBorder="1"/>
    <xf numFmtId="0" fontId="10" fillId="11" borderId="21" xfId="0" applyFont="1" applyFill="1" applyBorder="1"/>
    <xf numFmtId="0" fontId="10" fillId="11" borderId="18" xfId="0" applyFont="1" applyFill="1" applyBorder="1"/>
    <xf numFmtId="0" fontId="0" fillId="16" borderId="0" xfId="0" applyFill="1" applyAlignment="1">
      <alignment horizontal="center" vertical="center" wrapText="1"/>
    </xf>
    <xf numFmtId="0" fontId="0" fillId="16" borderId="0" xfId="0" applyFill="1" applyAlignment="1">
      <alignment horizontal="center" vertical="center"/>
    </xf>
    <xf numFmtId="0" fontId="0" fillId="16" borderId="0" xfId="0" applyFill="1" applyAlignment="1">
      <alignment horizontal="center" vertical="center" wrapText="1"/>
    </xf>
    <xf numFmtId="0" fontId="0" fillId="3" borderId="0" xfId="0" applyFill="1" applyAlignment="1">
      <alignment horizontal="center"/>
    </xf>
    <xf numFmtId="0" fontId="11" fillId="16" borderId="0" xfId="0" applyFont="1" applyFill="1" applyAlignment="1">
      <alignment horizontal="center" vertical="center" wrapText="1"/>
    </xf>
    <xf numFmtId="0" fontId="11" fillId="16" borderId="0" xfId="0" applyFont="1" applyFill="1" applyAlignment="1">
      <alignment horizontal="center" vertical="center"/>
    </xf>
  </cellXfs>
  <cellStyles count="1">
    <cellStyle name="Normal" xfId="0" builtinId="0"/>
  </cellStyles>
  <dxfs count="4">
    <dxf>
      <fill>
        <patternFill>
          <bgColor theme="4" tint="0.79998168889431442"/>
        </patternFill>
      </fill>
    </dxf>
    <dxf>
      <fill>
        <patternFill>
          <bgColor theme="4" tint="0.79998168889431442"/>
        </patternFill>
      </fill>
    </dxf>
    <dxf>
      <font>
        <sz val="18"/>
        <name val="Arial"/>
        <scheme val="none"/>
      </font>
      <fill>
        <patternFill patternType="solid">
          <fgColor indexed="64"/>
          <bgColor rgb="FFD9EAD3"/>
        </patternFill>
      </fill>
    </dxf>
    <dxf>
      <font>
        <sz val="18"/>
        <name val="Arial"/>
        <scheme val="none"/>
      </font>
      <fill>
        <patternFill patternType="solid">
          <fgColor indexed="64"/>
          <bgColor rgb="FFD9EAD3"/>
        </patternFill>
      </fill>
    </dxf>
  </dxfs>
  <tableStyles count="0" defaultTableStyle="TableStyleMedium2" defaultPivotStyle="PivotStyleLight16"/>
  <colors>
    <mruColors>
      <color rgb="FFE4D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238125</xdr:colOff>
          <xdr:row>40</xdr:row>
          <xdr:rowOff>76200</xdr:rowOff>
        </xdr:from>
        <xdr:to>
          <xdr:col>4</xdr:col>
          <xdr:colOff>4371975</xdr:colOff>
          <xdr:row>42</xdr:row>
          <xdr:rowOff>0</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00000000-0008-0000-0800-0000012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Add sentences to Anki Log</a:t>
              </a:r>
            </a:p>
            <a:p>
              <a:pPr algn="ctr" rtl="0">
                <a:defRPr sz="1000"/>
              </a:pPr>
              <a:endParaRPr lang="en-US" sz="1100" b="0" i="0" u="none" strike="noStrike" baseline="0">
                <a:solidFill>
                  <a:srgbClr val="000000"/>
                </a:solidFill>
                <a:latin typeface="Calibri"/>
                <a:cs typeface="Calibri"/>
              </a:endParaRPr>
            </a:p>
          </xdr:txBody>
        </xdr:sp>
        <xdr:clientData fPrintsWithSheet="0"/>
      </xdr:twoCellAnchor>
    </mc:Choice>
    <mc:Fallback/>
  </mc:AlternateContent>
  <xdr:twoCellAnchor>
    <xdr:from>
      <xdr:col>7</xdr:col>
      <xdr:colOff>38100</xdr:colOff>
      <xdr:row>41</xdr:row>
      <xdr:rowOff>38100</xdr:rowOff>
    </xdr:from>
    <xdr:to>
      <xdr:col>7</xdr:col>
      <xdr:colOff>4162425</xdr:colOff>
      <xdr:row>43</xdr:row>
      <xdr:rowOff>142875</xdr:rowOff>
    </xdr:to>
    <xdr:sp macro="" textlink="">
      <xdr:nvSpPr>
        <xdr:cNvPr id="2" name="Rectangle: Rounded Corners 1">
          <a:extLst>
            <a:ext uri="{FF2B5EF4-FFF2-40B4-BE49-F238E27FC236}">
              <a16:creationId xmlns:a16="http://schemas.microsoft.com/office/drawing/2014/main" id="{8C664053-F76D-4088-BF04-C96258D26A6E}"/>
            </a:ext>
          </a:extLst>
        </xdr:cNvPr>
        <xdr:cNvSpPr/>
      </xdr:nvSpPr>
      <xdr:spPr>
        <a:xfrm>
          <a:off x="13535025" y="7867650"/>
          <a:ext cx="4124325" cy="4857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a:solidFill>
                <a:schemeClr val="bg1"/>
              </a:solidFill>
              <a:latin typeface="Montserrat ExtraBold" pitchFamily="2" charset="0"/>
            </a:rPr>
            <a:t>Add sentences to Anki Log</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633414</xdr:colOff>
      <xdr:row>3</xdr:row>
      <xdr:rowOff>140494</xdr:rowOff>
    </xdr:from>
    <xdr:to>
      <xdr:col>1</xdr:col>
      <xdr:colOff>2071688</xdr:colOff>
      <xdr:row>16</xdr:row>
      <xdr:rowOff>83345</xdr:rowOff>
    </xdr:to>
    <mc:AlternateContent xmlns:mc="http://schemas.openxmlformats.org/markup-compatibility/2006" xmlns:a14="http://schemas.microsoft.com/office/drawing/2010/main">
      <mc:Choice Requires="a14">
        <xdr:graphicFrame macro="">
          <xdr:nvGraphicFramePr>
            <xdr:cNvPr id="3" name="Lesson #">
              <a:extLst>
                <a:ext uri="{FF2B5EF4-FFF2-40B4-BE49-F238E27FC236}">
                  <a16:creationId xmlns:a16="http://schemas.microsoft.com/office/drawing/2014/main" id="{BBC2841E-92B7-46B5-A399-C6A52FBAC9D5}"/>
                </a:ext>
              </a:extLst>
            </xdr:cNvPr>
            <xdr:cNvGraphicFramePr/>
          </xdr:nvGraphicFramePr>
          <xdr:xfrm>
            <a:off x="0" y="0"/>
            <a:ext cx="0" cy="0"/>
          </xdr:xfrm>
          <a:graphic>
            <a:graphicData uri="http://schemas.microsoft.com/office/drawing/2010/slicer">
              <sle:slicer xmlns:sle="http://schemas.microsoft.com/office/drawing/2010/slicer" name="Lesson #"/>
            </a:graphicData>
          </a:graphic>
        </xdr:graphicFrame>
      </mc:Choice>
      <mc:Fallback xmlns="">
        <xdr:sp macro="" textlink="">
          <xdr:nvSpPr>
            <xdr:cNvPr id="0" name=""/>
            <xdr:cNvSpPr>
              <a:spLocks noTextEdit="1"/>
            </xdr:cNvSpPr>
          </xdr:nvSpPr>
          <xdr:spPr>
            <a:xfrm>
              <a:off x="7312820" y="1140619"/>
              <a:ext cx="1438274" cy="3812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L/Languages/0_French/Paul%20Noble/Scri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PN_pdf"/>
      <sheetName val="PN raw"/>
      <sheetName val="New items"/>
      <sheetName val="CBF"/>
      <sheetName val="Next"/>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 refreshedDate="44698.561641435183" createdVersion="7" refreshedVersion="7" minRefreshableVersion="3" recordCount="124" xr:uid="{49D31F31-ACB2-4CB0-91EF-768724A8C6F2}">
  <cacheSource type="worksheet">
    <worksheetSource ref="A1:J125" sheet="Anki"/>
  </cacheSource>
  <cacheFields count="10">
    <cacheField name="Français" numFmtId="0">
      <sharedItems count="124">
        <s v="J'ai invité un ami"/>
        <s v="Tu as invité un ami"/>
        <s v="As-tu invité un ami?"/>
        <s v="Tu as invité un ami?"/>
        <s v="J'ai confirmé le meeting avec Ben"/>
        <s v="J'ai visité Hanoi avec un ami"/>
        <s v="J'ai preparé le café pour toi"/>
        <s v="Tu as preparé le café pour moi?"/>
        <s v="Tu as visité Hanoi (avec un ami)?"/>
        <s v="Tu as preparé le meeting avec Ben?"/>
        <s v="J'ai réservé une table pour deux"/>
        <s v="Tu as réservé une table pour le diner?"/>
        <s v="Il a réservé une table"/>
        <s v="Elle a réservé une table"/>
        <s v="Mon ami a preparé le café pour moi"/>
        <s v="Mon ami a visité Hanoi et mon chien a visité Taipei"/>
        <s v="Préparation"/>
        <s v="Invitation"/>
        <s v="Réservation"/>
        <s v="Décoration"/>
        <s v="Confirmation"/>
        <s v="J'ai invité un ami au restaurant"/>
        <s v="Je voudrais inviter un ami"/>
        <s v="Je voudrais preparer le diner parce que j'ai faim"/>
        <s v="Je voudrais preparer le café parce que j'ai soif"/>
        <s v="Je voudrais réserver pour ce soir"/>
        <s v="J'ai réservé une table pour ce soir pour deux personnes"/>
        <s v="Voulez-vous reserver une table pour ce soir?"/>
        <s v="Voulez-vous visiter Hanoi?"/>
        <s v="Typique"/>
        <s v="Exotique"/>
        <s v="Politique"/>
        <s v="Romantic"/>
        <s v="Pratique"/>
        <s v="Parce que"/>
        <s v="Je voudrais visiter Paris parce que c'est exotique"/>
        <s v="Est-ce que tu as preparé le café pour moi?"/>
        <s v="Est-ce que c'est pratique?"/>
        <s v="Je voudrais aller à Paris"/>
        <s v="Je voudrais aller à ce café, est-ce qu'il est typique?"/>
        <s v="Savoir"/>
        <s v="Je voudrais savoir si c'est pratique"/>
        <s v="Voulez-vous reserver un table? Oui, mais je voudrais savoir si c'est pratique"/>
        <s v="Est-ce que vous voulez reserver un table?"/>
        <s v="Pourquoi?"/>
        <s v="Désolé!/Désolée!"/>
        <s v="Ce n'est pas"/>
        <s v="C'est pas"/>
        <s v="Non, c'est pas pratique"/>
        <s v="Je voudrais allez a Paris, mais c'est pas pratique"/>
        <s v="Pourquoi c'est pas pratique?"/>
        <s v="Je voudrais savoir pourquoi c'est pas pratique"/>
        <s v="Pourquoi tu as preparé le diné?"/>
        <s v="Tu as préparé le café?"/>
        <s v="Tu n'as pas préparé le café?"/>
        <s v="Tu as pas préparé le café?"/>
        <s v="Je voudrais savoir pourquoi tu n'as pas préparé le café"/>
        <s v="J'ai faim, pourquoi tu as pas préparé le diné?"/>
        <s v="Je n'ai pas visité Paris"/>
        <s v="Je n'ai pas invité Jean au ciné(ma)"/>
        <s v="J'ai pas préparé le café, désolé"/>
        <s v="Désolé, mais j'ai pas préparé le café"/>
        <s v="Français"/>
        <s v="Désolé, mais j'ai pas réservé une table au restau Français"/>
        <s v="Je voudrais le préparer"/>
        <s v="Je peux préparer le diner"/>
        <s v="Je peux le préparer"/>
        <s v="Elle peux le manger"/>
        <s v="Elle peut le faire aujourd'hui"/>
        <s v="Tu peux le faire demain"/>
        <s v="Est-ce que tu peux le faire aujourd'hui?"/>
        <s v="Je peux pas le manger"/>
        <s v="Je peux pas le faire"/>
        <s v="On ne peut pas le manger aujourd'hui"/>
        <s v="Je peux comprendre"/>
        <s v="Tu peux me comprendre?"/>
        <s v="Oui, je peux te comprendre!"/>
        <s v="Je peux le comprendre (it or him)"/>
        <s v="Je peux la comprendre (her)"/>
        <s v="Un appartement"/>
        <s v="Elle a un appartement à Paris"/>
        <s v="Elle peut voir tout Paris"/>
        <s v="C'est magnifique!"/>
        <s v="~ Et toi, tu as un grand appartement?_x000a_~ Non, j'ai un petit appartement"/>
        <s v="~ Je peux le voir?_x000a_~ Ouah, c'est magnifique!"/>
        <s v="Tu peux me voir?"/>
        <s v="Il peut le voir"/>
        <s v="Ils peuvent le voir"/>
        <s v="On peut voir tout Paris"/>
        <s v="~ Tu peux voir ma voiture?_x000a_~ Non, elle est où?_x000a_~ Ici, tu peux la voir?"/>
        <s v="~ Tu peux voir le restau?_x000a_~ Non, il est où?_x000a_~ Il est là-bas"/>
        <s v="On peut déjeuner là-bas"/>
        <s v="~ Maintenant?_x000a_~ Non, pas maintenant!"/>
        <s v="Maintenant, on peut prendre le petit-déjeuner"/>
        <s v="C'est délicieux!"/>
        <s v="Le retaurant, en France, c'est délicieux, mais c'est très cher!"/>
        <s v="Tu as acheté à manger avec ton amie"/>
        <s v="Tu as diné avec ton amie"/>
        <s v="Ce soir, vous avez mangé à la maison"/>
        <s v="~ Je peux préparer à manger pour toi_x000a_~ Super, merci!"/>
        <s v="C'est quoi ça? Tu as un chien?"/>
        <s v="Où est-il? Est-ce que je peux le voir?"/>
        <s v="~ Il est ici_x000a_~ Oh, il est mignon !"/>
        <s v="~ C'est quoi son nom?_x000a_~ Son nom c'est Biscuit."/>
        <s v="Salut Biscuit, moi c'est Nga, N-G-A."/>
        <s v="~ Oh, c'est un nom exotique_x000a_~ Oui, c'est Vietnamien"/>
        <s v="Ton chien peux manger du chocolat?"/>
        <s v="~ Tu n'as pas faim?_x000a_~ Si, j'ai très faim"/>
        <s v="C'est dangereux"/>
        <s v="Ah, on peut acheter des croissants pour Biscuit"/>
        <s v="On peut en acheter maintenant?"/>
        <s v="~ Je peux en manger?_x000a_~ Oui, tu peux en manger, pas de probleme."/>
        <s v="~ Il y a des chocolats a la maison._x000a_~ Je veux en prendre."/>
        <s v="~ Il y a du café?_x000a_~ Non, je veux en préprarer."/>
        <s v="Je veux manger d'abord."/>
        <s v="~ Ah, tu as tres faim, c'est ca?_x000a_~ Exactement!"/>
        <s v="Comment est le diné? C'est bon?"/>
        <s v="Le diné est parfait, merci!"/>
        <s v="~ Tu veux prendre un verre?_x000a_~ Pourquoi pas! On peut discuter."/>
        <s v="Je peux rester chez toi ce soir? C'est possible?"/>
        <s v="~ Est-ce que je peux dormir chez toi ce soir?_x000a_~ D'accord."/>
        <s v="~ Où est ma chambre?_x000a_~ Elle est là-bas."/>
        <s v="Je suis fatiguée. Je veux dormir maintenant."/>
        <s v="Est-ce que tu veux prendre ta douche d'abord?"/>
      </sharedItems>
    </cacheField>
    <cacheField name="English" numFmtId="0">
      <sharedItems count="120">
        <s v="I have invited a friend"/>
        <s v="You have invited a friend"/>
        <s v="Have you invited a friend?"/>
        <s v="I have confirmed the meeting with Ben"/>
        <s v="I have visited Hanoi with a friend"/>
        <s v="I have prepared coffee for you"/>
        <s v="Have you prepared the coffee for me?"/>
        <s v="Have you visited Hanoi with a friend?"/>
        <s v="Have you prepared the meeting with Ben?"/>
        <s v="I have booked (reserved) a table for two"/>
        <s v="Have you booked (reserved) a table for dinner?"/>
        <s v="He has booked (reserved) a table"/>
        <s v="She has booked (reserved) a table"/>
        <s v="My friend has prepared the coffee for me"/>
        <s v="My friend has visited Hanoi and my dog has visited Taipei"/>
        <s v="Preparation"/>
        <s v="Invitation"/>
        <s v="Reservation"/>
        <s v="Decoration"/>
        <s v="Confirmation"/>
        <s v="I have invited a friend to the restaurant"/>
        <s v="I would like to invite a friend"/>
        <s v="I would like to prepare the dinner because I'm hungry"/>
        <s v="I would like to prepare the coffee because I'm thirsty"/>
        <s v="I would like to book for tonight"/>
        <s v="I have booked a table for tonight for two people"/>
        <s v="Do you want to book a table for tonight?"/>
        <s v="Do you want to visit Hanoi?"/>
        <s v="Typical"/>
        <s v="Exotic"/>
        <s v="Political"/>
        <s v="Romantic"/>
        <s v="Convenient ('Practical')"/>
        <s v="Because"/>
        <s v="I would like to visit Paris because it's exotic"/>
        <s v="Is it convenient?"/>
        <s v="I would like to go to Paris"/>
        <s v="I would like to go to this coffee shop, is it typical?"/>
        <s v="To know"/>
        <s v="I'd like to know if it's convenient"/>
        <s v="Do you want to book a table? Yes, but I would like to know if it's convenient"/>
        <s v="Do you want to book a table? (form., 3)"/>
        <s v="Why?"/>
        <s v="Sorry!"/>
        <s v="It's not (&quot;this is not&quot;)"/>
        <s v="No, it's not convenient"/>
        <s v="I would like to go to Paris, but it's not convenient"/>
        <s v="Why is it not convenient?"/>
        <s v="I would like to know why it's not convenient"/>
        <s v="Why have you prepared the coffee?"/>
        <s v="Have you prepared the coffee?"/>
        <s v="Haven't you prepared the coffee?"/>
        <s v="I would like to know why you haven't prepared the coffee"/>
        <s v="I'm hungry, why haven't you prepare dthe dinner?"/>
        <s v="I haven't visited Paris"/>
        <s v="I haven't invited Jean to the cinema"/>
        <s v="I haven't prepared the coffee, sorry"/>
        <s v="Sorry, but I haven't prepared the coffee"/>
        <s v="French"/>
        <s v="Sorry, but I haven't booked a table at the French restaurant"/>
        <s v="I would like to prepare it"/>
        <s v="I can prepare the dinner"/>
        <s v="I can prepare it"/>
        <s v="She can eat it"/>
        <s v="She can do it today"/>
        <s v="You can do it tomorrow"/>
        <s v="Can you do it today?"/>
        <s v="I cannot eat it"/>
        <s v="I cannot do it"/>
        <s v="We cannot eat it today"/>
        <s v="I can understand"/>
        <s v="Can you understand me?"/>
        <s v="Yes, I can understand you!"/>
        <s v="I can understand it/him"/>
        <s v="I can understand her"/>
        <s v="An appartment"/>
        <s v="She has a flat in Paris"/>
        <s v="She can see all of Paris"/>
        <s v="It's magnificent"/>
        <s v="~ And you, do you have a big appartment?_x000a_~ No, I have a small appartment"/>
        <s v="~ Can I see it?_x000a_~ Wow, it's magnificent"/>
        <s v="Can you see me?"/>
        <s v="He can see it/him"/>
        <s v="They can see it/him"/>
        <s v="We can see all of Paris"/>
        <s v="~ Can you see my car?_x000a_~ No, where is it?_x000a_~ Here, can you see it?"/>
        <s v="~ Can you see the restaurant?_x000a_~ No, where is it?_x000a_~ It's over there"/>
        <s v="We can have lunch over there"/>
        <s v="~ Now?_x000a_~ No, not now!"/>
        <s v="Now, we can have breakfast"/>
        <s v="It's delicious!"/>
        <s v="Restaurants in France are delicious, but very expensive"/>
        <s v="You have bought some food with your friend"/>
        <s v="You had diner with your friend"/>
        <s v="Tonight, you had diner at home"/>
        <s v="~ Je peux préparer à manger pour toi_x000a_~ Super, merci!"/>
        <s v="What is this? Do you have a dog?"/>
        <s v="Where is it? Can I see it?"/>
        <s v="~ It's here_x000a_~ Oh, it's so cute!"/>
        <s v="~ What's its name?_x000a_~ Its name is Biscuit"/>
        <s v="Hi Biscuit, I'm Nga, N-G-A."/>
        <s v="~ Oh, that's an exotic name_x000a_~ Yes, it's Vietnamese"/>
        <s v="Can you dog eat chocolate?"/>
        <s v="~ Are you not hungry?_x000a_~ Yes, I'm very hungry"/>
        <s v="It's dangerous"/>
        <s v="Ah, we can buy some croissants for Biscuit"/>
        <s v="Can we buy some now?"/>
        <s v="~ Can I eat some?_x000a_~ Yeah, you can eat some, no problem"/>
        <s v="~ There are chocolates at home._x000a_~ I want to take some."/>
        <s v="~ Is there coffee?_x000a_~ No, I want to prepare some."/>
        <s v="I want to eat first."/>
        <s v="~ Ah, you're very hungry, right?_x000a_~ Exactly!"/>
        <s v="How is the dinner? Is it tasty?"/>
        <s v="The dinner is perfect, thanks!"/>
        <s v="~ You want to have a drink?_x000a_~ Why not! We can chat."/>
        <s v="Can I stay at your place tonight? Is it possible?"/>
        <s v="~ Can I sleep at your lace tonight?_x000a_~ Alright."/>
        <s v="~ Where's my room?_x000a_~ It's over there."/>
        <s v="I'm tired. I want to sleep now."/>
        <s v="Do you want to take your shower first?"/>
      </sharedItems>
    </cacheField>
    <cacheField name="Audio" numFmtId="0">
      <sharedItems count="124">
        <s v="[sound:rec1645544842.mp3]"/>
        <s v="[sound:rec1645544856.mp3]"/>
        <s v="[sound:rec1645544867.mp3]"/>
        <s v="[sound:rec1645544873.mp3]"/>
        <s v="[sound:rec1645545058.mp3]"/>
        <s v="[sound:rec1645544930.mp3]"/>
        <s v="[sound:rec1645544942.mp3]"/>
        <s v="[sound:rec1645544953.mp3]"/>
        <s v="[sound:rec1645544966.mp3]"/>
        <s v="[sound:rec1645545970.mp3]"/>
        <s v="[sound:rec1645715004.mp3]"/>
        <s v="[sound:rec1645715024.mp3]"/>
        <s v="[sound:rec1645715062.mp3]"/>
        <s v="[sound:rec1645715068.mp3]"/>
        <s v="[sound:rec1645715077.mp3]"/>
        <s v="[sound:rec1645715089.mp3]"/>
        <s v="[sound:rec1645715113.mp3]"/>
        <s v="[sound:rec1645715118.mp3]"/>
        <s v="[sound:rec1645715122.mp3]"/>
        <s v="[sound:rec1645715127.mp3]"/>
        <s v="[sound:rec1645715131.mp3]"/>
        <s v="[sound:rec1645715139.mp3]"/>
        <s v="[sound:rec1645715147.mp3]"/>
        <s v="[sound:rec1645715156.mp3]"/>
        <s v="[sound:rec1645715166.mp3]"/>
        <s v="[sound:rec1646063577.mp3]"/>
        <s v="[sound:rec1646063588.mp3]"/>
        <s v="[sound:rec1646063598.mp3]"/>
        <s v="[sound:rec1646063606.mp3]"/>
        <s v="[sound:rec1646063611.mp3]"/>
        <s v="[sound:rec1646063615.mp3]"/>
        <s v="[sound:rec1646063619.mp3]"/>
        <s v="[sound:rec1646063622.mp3]"/>
        <s v="[sound:rec1646063626.mp3]"/>
        <s v="[sound:rec1646063643.mp3]"/>
        <s v="[sound:rec1646063652.mp3]"/>
        <s v="[sound:rec1646063661.mp3]"/>
        <s v="[sound:rec1646063667.mp3]"/>
        <s v="[sound:rec1646063673.mp3]"/>
        <s v="[sound:rec1646063687.mp3]"/>
        <s v="[sound:rec1646063701.mp3]"/>
        <s v="[sound:rec1646063707.mp3]"/>
        <s v="[sound:rec1646063719.mp3]"/>
        <s v="[sound:rec1646063738.mp3]"/>
        <s v="[sound:rec1646063744.mp3]"/>
        <s v="[sound:rec1646063747.mp3]"/>
        <s v="[sound:rec1646923056.mp3]"/>
        <s v="[sound:rec1646923080.mp3]"/>
        <s v="[sound:rec1646923085.mp3]"/>
        <s v="[sound:rec1646923091.mp3]"/>
        <s v="[sound:rec1646923097.mp3]"/>
        <s v="[sound:rec1646923104.mp3]"/>
        <s v="[sound:rec1646923112.mp3]"/>
        <s v="[sound:rec1646923117.mp3]"/>
        <s v="[sound:rec1646923122.mp3]"/>
        <s v="[sound:rec1646923127.mp3]"/>
        <s v="[sound:rec1646923135.mp3]"/>
        <s v="[sound:rec1646923143.mp3]"/>
        <s v="[sound:rec1646923150.mp3]"/>
        <s v="[sound:rec1646923161.mp3]"/>
        <s v="[sound:rec1646923168.mp3]"/>
        <s v="[sound:rec1646923173.mp3]"/>
        <s v="[sound:rec1646923188.mp3]"/>
        <s v="[sound:rec1646923199.mp3]"/>
        <s v="[sound:rec1649342595.mp3]"/>
        <s v="[sound:rec1649342601.mp3]"/>
        <s v="[sound:rec1649342606.mp3]"/>
        <s v="[sound:rec1649342614.mp3]"/>
        <s v="[sound:rec1649342630.mp3]"/>
        <s v="[sound:rec1649342641.mp3]"/>
        <s v="[sound:rec1649342647.mp3]"/>
        <s v="[sound:rec1649342652.mp3]"/>
        <s v="[sound:rec1649342657.mp3]"/>
        <s v="[sound:rec1649342663.mp3]"/>
        <s v="[sound:rec1649342667.mp3]"/>
        <s v="[sound:rec1649342672.mp3]"/>
        <s v="[sound:rec1649342677.mp3]"/>
        <s v="[sound:rec1649342682.mp3]"/>
        <s v="[sound:rec1649342693.mp3]"/>
        <s v="[sound:rec1651022575.mp3]"/>
        <s v="[sound:rec1651022729.mp3]"/>
        <s v="[sound:rec1651022738.mp3]"/>
        <s v="[sound:rec1651022742.mp3]"/>
        <s v="[sound:rec1651022757.mp3]"/>
        <s v="[sound:rec1651022764.mp3]"/>
        <s v="[sound:rec1651022769.mp3]"/>
        <s v="[sound:rec1651022773.mp3]"/>
        <s v="[sound:rec1651022777.mp3]"/>
        <s v="[sound:rec1651022782.mp3]"/>
        <s v="[sound:rec1651022792.mp3]"/>
        <s v="[sound:rec1651022801.mp3]"/>
        <s v="[sound:rec1651022810.mp3]"/>
        <s v="[sound:rec1651022823.mp3]"/>
        <s v="[sound:rec1651022829.mp3]"/>
        <s v="[sound:rec1651022833.mp3]"/>
        <s v="[sound:rec1651801485.mp3]"/>
        <s v="[sound:rec1651801502.mp3]"/>
        <s v="[sound:rec1651801516.mp3]"/>
        <s v="[sound:rec1651801523.mp3]"/>
        <s v="[sound:rec1651801534.mp3]"/>
        <s v="[sound:rec1651801542.mp3]"/>
        <s v="[sound:rec1651801549.mp3]"/>
        <s v="[sound:rec1651801557.mp3]"/>
        <s v="[sound:rec1651801564.mp3]"/>
        <s v="[sound:rec1651801574.mp3]"/>
        <s v="[sound:rec1651801586.mp3]"/>
        <s v="[sound:rec1651801595.mp3]"/>
        <s v="[sound:rec1651801603.mp3]"/>
        <s v="[sound:rec1652370946.mp3]"/>
        <s v="[sound:rec1652370970.mp3]"/>
        <s v="[sound:rec1652370980.mp3]"/>
        <s v="[sound:rec1652370991.mp3]"/>
        <s v="[sound:rec1652371016.mp3]"/>
        <s v="[sound:rec1652371026.mp3]"/>
        <s v="[sound:rec1652371035.mp3]"/>
        <s v="[sound:rec1652371042.mp3]"/>
        <s v="[sound:rec1652371050.mp3]"/>
        <s v="[sound:rec1652371056.mp3]"/>
        <s v="[sound:rec1652371066.mp3]"/>
        <s v="[sound:rec1652371076.mp3]"/>
        <s v="[sound:rec1652371087.mp3]"/>
        <s v="[sound:rec1652371103.mp3]"/>
        <s v="[sound:rec1652371111.mp3]"/>
        <s v="[sound:rec1652371125.mp3]"/>
      </sharedItems>
    </cacheField>
    <cacheField name="Slow audio" numFmtId="0">
      <sharedItems containsBlank="1" count="5">
        <m/>
        <s v="[sound:rec1646923070.mp3]"/>
        <s v="[sound:rec1649342757.mp3]"/>
        <s v="[sound:rec1649342766.mp3]"/>
        <s v="[sound:rec1649342773.mp3]"/>
      </sharedItems>
    </cacheField>
    <cacheField name="Image" numFmtId="0">
      <sharedItems containsNonDate="0" containsString="0" containsBlank="1" count="1">
        <m/>
      </sharedItems>
    </cacheField>
    <cacheField name="Notes" numFmtId="0">
      <sharedItems containsBlank="1" containsMixedTypes="1" containsNumber="1" containsInteger="1" minValue="3" maxValue="3" count="16">
        <m/>
        <s v="inf., 2"/>
        <s v="inf., 1"/>
        <s v="form., 2"/>
        <s v="inf., 3"/>
        <n v="3"/>
        <s v="sandwich"/>
        <s v="sushi"/>
        <s v="Inf., 1, sandwich"/>
        <s v="Inf., 1, sushi"/>
        <s v="tu"/>
        <s v="tu, 3"/>
        <s v="on"/>
        <s v="tu, 1"/>
        <s v="vous"/>
        <s v="f."/>
      </sharedItems>
    </cacheField>
    <cacheField name="c" numFmtId="0">
      <sharedItems containsSemiMixedTypes="0" containsString="0" containsNumber="1" containsInteger="1" minValue="1" maxValue="8" count="8">
        <n v="1"/>
        <n v="2"/>
        <n v="3"/>
        <n v="4"/>
        <n v="5"/>
        <n v="6"/>
        <n v="7"/>
        <n v="8"/>
      </sharedItems>
    </cacheField>
    <cacheField name="s" numFmtId="0">
      <sharedItems containsSemiMixedTypes="0" containsString="0" containsNumber="1" containsInteger="1" minValue="1" maxValue="21" count="21">
        <n v="1"/>
        <n v="2"/>
        <n v="3"/>
        <n v="4"/>
        <n v="5"/>
        <n v="6"/>
        <n v="7"/>
        <n v="8"/>
        <n v="9"/>
        <n v="10"/>
        <n v="11"/>
        <n v="12"/>
        <n v="13"/>
        <n v="14"/>
        <n v="15"/>
        <n v="16"/>
        <n v="17"/>
        <n v="18"/>
        <n v="19"/>
        <n v="20"/>
        <n v="21"/>
      </sharedItems>
    </cacheField>
    <cacheField name="Marker" numFmtId="0">
      <sharedItems count="124">
        <s v="Nga_Fr_Lessons-001-001"/>
        <s v="Nga_Fr_Lessons-001-002"/>
        <s v="Nga_Fr_Lessons-001-003"/>
        <s v="Nga_Fr_Lessons-001-004"/>
        <s v="Nga_Fr_Lessons-001-005"/>
        <s v="Nga_Fr_Lessons-001-006"/>
        <s v="Nga_Fr_Lessons-001-007"/>
        <s v="Nga_Fr_Lessons-001-008"/>
        <s v="Nga_Fr_Lessons-001-009"/>
        <s v="Nga_Fr_Lessons-001-010"/>
        <s v="Nga_Fr_Lessons-002-001"/>
        <s v="Nga_Fr_Lessons-002-002"/>
        <s v="Nga_Fr_Lessons-002-003"/>
        <s v="Nga_Fr_Lessons-002-004"/>
        <s v="Nga_Fr_Lessons-002-005"/>
        <s v="Nga_Fr_Lessons-002-006"/>
        <s v="Nga_Fr_Lessons-002-007"/>
        <s v="Nga_Fr_Lessons-002-008"/>
        <s v="Nga_Fr_Lessons-002-009"/>
        <s v="Nga_Fr_Lessons-002-010"/>
        <s v="Nga_Fr_Lessons-002-011"/>
        <s v="Nga_Fr_Lessons-002-012"/>
        <s v="Nga_Fr_Lessons-002-013"/>
        <s v="Nga_Fr_Lessons-002-014"/>
        <s v="Nga_Fr_Lessons-002-015"/>
        <s v="Nga_Fr_Lessons-003-001"/>
        <s v="Nga_Fr_Lessons-003-002"/>
        <s v="Nga_Fr_Lessons-003-003"/>
        <s v="Nga_Fr_Lessons-003-004"/>
        <s v="Nga_Fr_Lessons-003-005"/>
        <s v="Nga_Fr_Lessons-003-006"/>
        <s v="Nga_Fr_Lessons-003-007"/>
        <s v="Nga_Fr_Lessons-003-008"/>
        <s v="Nga_Fr_Lessons-003-009"/>
        <s v="Nga_Fr_Lessons-003-010"/>
        <s v="Nga_Fr_Lessons-003-011"/>
        <s v="Nga_Fr_Lessons-003-012"/>
        <s v="Nga_Fr_Lessons-003-013"/>
        <s v="Nga_Fr_Lessons-003-014"/>
        <s v="Nga_Fr_Lessons-003-015"/>
        <s v="Nga_Fr_Lessons-003-016"/>
        <s v="Nga_Fr_Lessons-003-017"/>
        <s v="Nga_Fr_Lessons-003-018"/>
        <s v="Nga_Fr_Lessons-003-019"/>
        <s v="Nga_Fr_Lessons-003-020"/>
        <s v="Nga_Fr_Lessons-003-021"/>
        <s v="Nga_Fr_Lessons-004-001"/>
        <s v="Nga_Fr_Lessons-004-002"/>
        <s v="Nga_Fr_Lessons-004-003"/>
        <s v="Nga_Fr_Lessons-004-004"/>
        <s v="Nga_Fr_Lessons-004-005"/>
        <s v="Nga_Fr_Lessons-004-006"/>
        <s v="Nga_Fr_Lessons-004-007"/>
        <s v="Nga_Fr_Lessons-004-008"/>
        <s v="Nga_Fr_Lessons-004-009"/>
        <s v="Nga_Fr_Lessons-004-010"/>
        <s v="Nga_Fr_Lessons-004-011"/>
        <s v="Nga_Fr_Lessons-004-012"/>
        <s v="Nga_Fr_Lessons-004-013"/>
        <s v="Nga_Fr_Lessons-004-014"/>
        <s v="Nga_Fr_Lessons-004-015"/>
        <s v="Nga_Fr_Lessons-004-016"/>
        <s v="Nga_Fr_Lessons-004-017"/>
        <s v="Nga_Fr_Lessons-004-018"/>
        <s v="Nga_Fr_Lessons-005-001"/>
        <s v="Nga_Fr_Lessons-005-002"/>
        <s v="Nga_Fr_Lessons-005-003"/>
        <s v="Nga_Fr_Lessons-005-004"/>
        <s v="Nga_Fr_Lessons-005-005"/>
        <s v="Nga_Fr_Lessons-005-006"/>
        <s v="Nga_Fr_Lessons-005-007"/>
        <s v="Nga_Fr_Lessons-005-008"/>
        <s v="Nga_Fr_Lessons-005-009"/>
        <s v="Nga_Fr_Lessons-005-010"/>
        <s v="Nga_Fr_Lessons-005-011"/>
        <s v="Nga_Fr_Lessons-005-012"/>
        <s v="Nga_Fr_Lessons-005-013"/>
        <s v="Nga_Fr_Lessons-005-014"/>
        <s v="Nga_Fr_Lessons-005-015"/>
        <s v="Nga_Fr_Lessons-006-001"/>
        <s v="Nga_Fr_Lessons-006-002"/>
        <s v="Nga_Fr_Lessons-006-003"/>
        <s v="Nga_Fr_Lessons-006-004"/>
        <s v="Nga_Fr_Lessons-006-005"/>
        <s v="Nga_Fr_Lessons-006-006"/>
        <s v="Nga_Fr_Lessons-006-007"/>
        <s v="Nga_Fr_Lessons-006-008"/>
        <s v="Nga_Fr_Lessons-006-009"/>
        <s v="Nga_Fr_Lessons-006-010"/>
        <s v="Nga_Fr_Lessons-006-011"/>
        <s v="Nga_Fr_Lessons-006-012"/>
        <s v="Nga_Fr_Lessons-006-013"/>
        <s v="Nga_Fr_Lessons-006-014"/>
        <s v="Nga_Fr_Lessons-006-015"/>
        <s v="Nga_Fr_Lessons-006-016"/>
        <s v="Nga_Fr_Lessons-007-001"/>
        <s v="Nga_Fr_Lessons-007-002"/>
        <s v="Nga_Fr_Lessons-007-003"/>
        <s v="Nga_Fr_Lessons-007-004"/>
        <s v="Nga_Fr_Lessons-007-005"/>
        <s v="Nga_Fr_Lessons-007-006"/>
        <s v="Nga_Fr_Lessons-007-007"/>
        <s v="Nga_Fr_Lessons-007-008"/>
        <s v="Nga_Fr_Lessons-007-009"/>
        <s v="Nga_Fr_Lessons-007-010"/>
        <s v="Nga_Fr_Lessons-007-011"/>
        <s v="Nga_Fr_Lessons-007-012"/>
        <s v="Nga_Fr_Lessons-007-013"/>
        <s v="Nga_Fr_Lessons-008-001"/>
        <s v="Nga_Fr_Lessons-008-002"/>
        <s v="Nga_Fr_Lessons-008-003"/>
        <s v="Nga_Fr_Lessons-008-004"/>
        <s v="Nga_Fr_Lessons-008-005"/>
        <s v="Nga_Fr_Lessons-008-006"/>
        <s v="Nga_Fr_Lessons-008-007"/>
        <s v="Nga_Fr_Lessons-008-008"/>
        <s v="Nga_Fr_Lessons-008-009"/>
        <s v="Nga_Fr_Lessons-008-010"/>
        <s v="Nga_Fr_Lessons-008-011"/>
        <s v="Nga_Fr_Lessons-008-012"/>
        <s v="Nga_Fr_Lessons-008-013"/>
        <s v="Nga_Fr_Lessons-008-014"/>
        <s v="Nga_Fr_Lessons-008-015"/>
        <s v="Nga_Fr_Lessons-008-016"/>
      </sharedItems>
    </cacheField>
    <cacheField name="Tags" numFmtId="0">
      <sharedItems count="8">
        <s v="Nga::Fr::Lessons::001"/>
        <s v="Nga::Fr::Lessons::002"/>
        <s v="Nga::Fr::Lessons::003"/>
        <s v="Nga::Fr::Lessons::004"/>
        <s v="Nga::Fr::Lessons::005"/>
        <s v="Nga::Fr::Lessons::006"/>
        <s v="Nga::Fr::Lessons::007"/>
        <s v="Nga::Fr::Lessons::008"/>
      </sharedItems>
    </cacheField>
  </cacheFields>
  <extLst>
    <ext xmlns:x14="http://schemas.microsoft.com/office/spreadsheetml/2009/9/main" uri="{725AE2AE-9491-48be-B2B4-4EB974FC3084}">
      <x14:pivotCacheDefinition pivotCacheId="1696338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x v="0"/>
    <x v="0"/>
    <x v="0"/>
    <x v="0"/>
    <x v="0"/>
    <x v="0"/>
    <x v="0"/>
    <x v="0"/>
    <x v="0"/>
  </r>
  <r>
    <x v="1"/>
    <x v="1"/>
    <x v="1"/>
    <x v="0"/>
    <x v="0"/>
    <x v="0"/>
    <x v="0"/>
    <x v="1"/>
    <x v="1"/>
    <x v="0"/>
  </r>
  <r>
    <x v="2"/>
    <x v="2"/>
    <x v="2"/>
    <x v="0"/>
    <x v="0"/>
    <x v="1"/>
    <x v="0"/>
    <x v="2"/>
    <x v="2"/>
    <x v="0"/>
  </r>
  <r>
    <x v="3"/>
    <x v="2"/>
    <x v="3"/>
    <x v="0"/>
    <x v="0"/>
    <x v="2"/>
    <x v="0"/>
    <x v="3"/>
    <x v="3"/>
    <x v="0"/>
  </r>
  <r>
    <x v="4"/>
    <x v="3"/>
    <x v="4"/>
    <x v="0"/>
    <x v="0"/>
    <x v="0"/>
    <x v="0"/>
    <x v="4"/>
    <x v="4"/>
    <x v="0"/>
  </r>
  <r>
    <x v="5"/>
    <x v="4"/>
    <x v="5"/>
    <x v="0"/>
    <x v="0"/>
    <x v="0"/>
    <x v="0"/>
    <x v="5"/>
    <x v="5"/>
    <x v="0"/>
  </r>
  <r>
    <x v="6"/>
    <x v="5"/>
    <x v="6"/>
    <x v="0"/>
    <x v="0"/>
    <x v="0"/>
    <x v="0"/>
    <x v="6"/>
    <x v="6"/>
    <x v="0"/>
  </r>
  <r>
    <x v="7"/>
    <x v="6"/>
    <x v="7"/>
    <x v="0"/>
    <x v="0"/>
    <x v="0"/>
    <x v="0"/>
    <x v="7"/>
    <x v="7"/>
    <x v="0"/>
  </r>
  <r>
    <x v="8"/>
    <x v="7"/>
    <x v="8"/>
    <x v="0"/>
    <x v="0"/>
    <x v="0"/>
    <x v="0"/>
    <x v="8"/>
    <x v="8"/>
    <x v="0"/>
  </r>
  <r>
    <x v="9"/>
    <x v="8"/>
    <x v="9"/>
    <x v="0"/>
    <x v="0"/>
    <x v="0"/>
    <x v="0"/>
    <x v="9"/>
    <x v="9"/>
    <x v="0"/>
  </r>
  <r>
    <x v="10"/>
    <x v="9"/>
    <x v="10"/>
    <x v="0"/>
    <x v="0"/>
    <x v="0"/>
    <x v="1"/>
    <x v="0"/>
    <x v="10"/>
    <x v="1"/>
  </r>
  <r>
    <x v="11"/>
    <x v="10"/>
    <x v="11"/>
    <x v="0"/>
    <x v="0"/>
    <x v="0"/>
    <x v="1"/>
    <x v="1"/>
    <x v="11"/>
    <x v="1"/>
  </r>
  <r>
    <x v="12"/>
    <x v="11"/>
    <x v="12"/>
    <x v="0"/>
    <x v="0"/>
    <x v="0"/>
    <x v="1"/>
    <x v="2"/>
    <x v="12"/>
    <x v="1"/>
  </r>
  <r>
    <x v="13"/>
    <x v="12"/>
    <x v="13"/>
    <x v="0"/>
    <x v="0"/>
    <x v="0"/>
    <x v="1"/>
    <x v="3"/>
    <x v="13"/>
    <x v="1"/>
  </r>
  <r>
    <x v="14"/>
    <x v="13"/>
    <x v="14"/>
    <x v="0"/>
    <x v="0"/>
    <x v="0"/>
    <x v="1"/>
    <x v="4"/>
    <x v="14"/>
    <x v="1"/>
  </r>
  <r>
    <x v="15"/>
    <x v="14"/>
    <x v="15"/>
    <x v="0"/>
    <x v="0"/>
    <x v="0"/>
    <x v="1"/>
    <x v="5"/>
    <x v="15"/>
    <x v="1"/>
  </r>
  <r>
    <x v="16"/>
    <x v="15"/>
    <x v="16"/>
    <x v="0"/>
    <x v="0"/>
    <x v="0"/>
    <x v="1"/>
    <x v="6"/>
    <x v="16"/>
    <x v="1"/>
  </r>
  <r>
    <x v="17"/>
    <x v="16"/>
    <x v="17"/>
    <x v="0"/>
    <x v="0"/>
    <x v="0"/>
    <x v="1"/>
    <x v="7"/>
    <x v="17"/>
    <x v="1"/>
  </r>
  <r>
    <x v="18"/>
    <x v="17"/>
    <x v="18"/>
    <x v="0"/>
    <x v="0"/>
    <x v="0"/>
    <x v="1"/>
    <x v="8"/>
    <x v="18"/>
    <x v="1"/>
  </r>
  <r>
    <x v="19"/>
    <x v="18"/>
    <x v="19"/>
    <x v="0"/>
    <x v="0"/>
    <x v="0"/>
    <x v="1"/>
    <x v="9"/>
    <x v="19"/>
    <x v="1"/>
  </r>
  <r>
    <x v="20"/>
    <x v="19"/>
    <x v="20"/>
    <x v="0"/>
    <x v="0"/>
    <x v="0"/>
    <x v="1"/>
    <x v="10"/>
    <x v="20"/>
    <x v="1"/>
  </r>
  <r>
    <x v="21"/>
    <x v="20"/>
    <x v="21"/>
    <x v="0"/>
    <x v="0"/>
    <x v="0"/>
    <x v="1"/>
    <x v="11"/>
    <x v="21"/>
    <x v="1"/>
  </r>
  <r>
    <x v="22"/>
    <x v="21"/>
    <x v="22"/>
    <x v="0"/>
    <x v="0"/>
    <x v="0"/>
    <x v="1"/>
    <x v="12"/>
    <x v="22"/>
    <x v="1"/>
  </r>
  <r>
    <x v="23"/>
    <x v="22"/>
    <x v="23"/>
    <x v="0"/>
    <x v="0"/>
    <x v="0"/>
    <x v="1"/>
    <x v="13"/>
    <x v="23"/>
    <x v="1"/>
  </r>
  <r>
    <x v="24"/>
    <x v="23"/>
    <x v="24"/>
    <x v="0"/>
    <x v="0"/>
    <x v="0"/>
    <x v="1"/>
    <x v="14"/>
    <x v="24"/>
    <x v="1"/>
  </r>
  <r>
    <x v="25"/>
    <x v="24"/>
    <x v="25"/>
    <x v="0"/>
    <x v="0"/>
    <x v="0"/>
    <x v="2"/>
    <x v="0"/>
    <x v="25"/>
    <x v="2"/>
  </r>
  <r>
    <x v="26"/>
    <x v="25"/>
    <x v="26"/>
    <x v="0"/>
    <x v="0"/>
    <x v="0"/>
    <x v="2"/>
    <x v="1"/>
    <x v="26"/>
    <x v="2"/>
  </r>
  <r>
    <x v="27"/>
    <x v="26"/>
    <x v="27"/>
    <x v="0"/>
    <x v="0"/>
    <x v="3"/>
    <x v="2"/>
    <x v="2"/>
    <x v="27"/>
    <x v="2"/>
  </r>
  <r>
    <x v="28"/>
    <x v="27"/>
    <x v="28"/>
    <x v="0"/>
    <x v="0"/>
    <x v="3"/>
    <x v="2"/>
    <x v="3"/>
    <x v="28"/>
    <x v="2"/>
  </r>
  <r>
    <x v="29"/>
    <x v="28"/>
    <x v="29"/>
    <x v="0"/>
    <x v="0"/>
    <x v="0"/>
    <x v="2"/>
    <x v="4"/>
    <x v="29"/>
    <x v="2"/>
  </r>
  <r>
    <x v="30"/>
    <x v="29"/>
    <x v="30"/>
    <x v="0"/>
    <x v="0"/>
    <x v="0"/>
    <x v="2"/>
    <x v="5"/>
    <x v="30"/>
    <x v="2"/>
  </r>
  <r>
    <x v="31"/>
    <x v="30"/>
    <x v="31"/>
    <x v="0"/>
    <x v="0"/>
    <x v="0"/>
    <x v="2"/>
    <x v="6"/>
    <x v="31"/>
    <x v="2"/>
  </r>
  <r>
    <x v="32"/>
    <x v="31"/>
    <x v="32"/>
    <x v="0"/>
    <x v="0"/>
    <x v="0"/>
    <x v="2"/>
    <x v="7"/>
    <x v="32"/>
    <x v="2"/>
  </r>
  <r>
    <x v="33"/>
    <x v="32"/>
    <x v="33"/>
    <x v="0"/>
    <x v="0"/>
    <x v="0"/>
    <x v="2"/>
    <x v="8"/>
    <x v="33"/>
    <x v="2"/>
  </r>
  <r>
    <x v="34"/>
    <x v="33"/>
    <x v="34"/>
    <x v="0"/>
    <x v="0"/>
    <x v="0"/>
    <x v="2"/>
    <x v="9"/>
    <x v="34"/>
    <x v="2"/>
  </r>
  <r>
    <x v="35"/>
    <x v="34"/>
    <x v="35"/>
    <x v="0"/>
    <x v="0"/>
    <x v="0"/>
    <x v="2"/>
    <x v="10"/>
    <x v="35"/>
    <x v="2"/>
  </r>
  <r>
    <x v="36"/>
    <x v="6"/>
    <x v="36"/>
    <x v="0"/>
    <x v="0"/>
    <x v="4"/>
    <x v="2"/>
    <x v="11"/>
    <x v="36"/>
    <x v="2"/>
  </r>
  <r>
    <x v="37"/>
    <x v="35"/>
    <x v="37"/>
    <x v="0"/>
    <x v="0"/>
    <x v="5"/>
    <x v="2"/>
    <x v="12"/>
    <x v="37"/>
    <x v="2"/>
  </r>
  <r>
    <x v="38"/>
    <x v="36"/>
    <x v="38"/>
    <x v="0"/>
    <x v="0"/>
    <x v="0"/>
    <x v="2"/>
    <x v="13"/>
    <x v="38"/>
    <x v="2"/>
  </r>
  <r>
    <x v="39"/>
    <x v="37"/>
    <x v="39"/>
    <x v="0"/>
    <x v="0"/>
    <x v="0"/>
    <x v="2"/>
    <x v="14"/>
    <x v="39"/>
    <x v="2"/>
  </r>
  <r>
    <x v="40"/>
    <x v="38"/>
    <x v="40"/>
    <x v="0"/>
    <x v="0"/>
    <x v="0"/>
    <x v="2"/>
    <x v="15"/>
    <x v="40"/>
    <x v="2"/>
  </r>
  <r>
    <x v="41"/>
    <x v="39"/>
    <x v="41"/>
    <x v="0"/>
    <x v="0"/>
    <x v="0"/>
    <x v="2"/>
    <x v="16"/>
    <x v="41"/>
    <x v="2"/>
  </r>
  <r>
    <x v="42"/>
    <x v="40"/>
    <x v="42"/>
    <x v="0"/>
    <x v="0"/>
    <x v="3"/>
    <x v="2"/>
    <x v="17"/>
    <x v="42"/>
    <x v="2"/>
  </r>
  <r>
    <x v="43"/>
    <x v="41"/>
    <x v="43"/>
    <x v="0"/>
    <x v="0"/>
    <x v="0"/>
    <x v="2"/>
    <x v="18"/>
    <x v="43"/>
    <x v="2"/>
  </r>
  <r>
    <x v="44"/>
    <x v="42"/>
    <x v="44"/>
    <x v="0"/>
    <x v="0"/>
    <x v="0"/>
    <x v="2"/>
    <x v="19"/>
    <x v="44"/>
    <x v="2"/>
  </r>
  <r>
    <x v="45"/>
    <x v="43"/>
    <x v="45"/>
    <x v="0"/>
    <x v="0"/>
    <x v="0"/>
    <x v="2"/>
    <x v="20"/>
    <x v="45"/>
    <x v="2"/>
  </r>
  <r>
    <x v="46"/>
    <x v="44"/>
    <x v="46"/>
    <x v="1"/>
    <x v="0"/>
    <x v="6"/>
    <x v="3"/>
    <x v="0"/>
    <x v="46"/>
    <x v="3"/>
  </r>
  <r>
    <x v="47"/>
    <x v="44"/>
    <x v="47"/>
    <x v="0"/>
    <x v="0"/>
    <x v="7"/>
    <x v="3"/>
    <x v="1"/>
    <x v="47"/>
    <x v="3"/>
  </r>
  <r>
    <x v="48"/>
    <x v="45"/>
    <x v="48"/>
    <x v="0"/>
    <x v="0"/>
    <x v="7"/>
    <x v="3"/>
    <x v="2"/>
    <x v="48"/>
    <x v="3"/>
  </r>
  <r>
    <x v="49"/>
    <x v="46"/>
    <x v="49"/>
    <x v="0"/>
    <x v="0"/>
    <x v="7"/>
    <x v="3"/>
    <x v="3"/>
    <x v="49"/>
    <x v="3"/>
  </r>
  <r>
    <x v="50"/>
    <x v="47"/>
    <x v="50"/>
    <x v="0"/>
    <x v="0"/>
    <x v="7"/>
    <x v="3"/>
    <x v="4"/>
    <x v="50"/>
    <x v="3"/>
  </r>
  <r>
    <x v="51"/>
    <x v="48"/>
    <x v="51"/>
    <x v="0"/>
    <x v="0"/>
    <x v="7"/>
    <x v="3"/>
    <x v="5"/>
    <x v="51"/>
    <x v="3"/>
  </r>
  <r>
    <x v="52"/>
    <x v="49"/>
    <x v="52"/>
    <x v="0"/>
    <x v="0"/>
    <x v="0"/>
    <x v="3"/>
    <x v="6"/>
    <x v="52"/>
    <x v="3"/>
  </r>
  <r>
    <x v="53"/>
    <x v="50"/>
    <x v="53"/>
    <x v="0"/>
    <x v="0"/>
    <x v="2"/>
    <x v="3"/>
    <x v="7"/>
    <x v="53"/>
    <x v="3"/>
  </r>
  <r>
    <x v="54"/>
    <x v="51"/>
    <x v="54"/>
    <x v="0"/>
    <x v="0"/>
    <x v="8"/>
    <x v="3"/>
    <x v="8"/>
    <x v="54"/>
    <x v="3"/>
  </r>
  <r>
    <x v="55"/>
    <x v="51"/>
    <x v="55"/>
    <x v="0"/>
    <x v="0"/>
    <x v="9"/>
    <x v="3"/>
    <x v="9"/>
    <x v="55"/>
    <x v="3"/>
  </r>
  <r>
    <x v="56"/>
    <x v="52"/>
    <x v="56"/>
    <x v="0"/>
    <x v="0"/>
    <x v="6"/>
    <x v="3"/>
    <x v="10"/>
    <x v="56"/>
    <x v="3"/>
  </r>
  <r>
    <x v="57"/>
    <x v="53"/>
    <x v="57"/>
    <x v="0"/>
    <x v="0"/>
    <x v="7"/>
    <x v="3"/>
    <x v="11"/>
    <x v="57"/>
    <x v="3"/>
  </r>
  <r>
    <x v="58"/>
    <x v="54"/>
    <x v="58"/>
    <x v="0"/>
    <x v="0"/>
    <x v="6"/>
    <x v="3"/>
    <x v="12"/>
    <x v="58"/>
    <x v="3"/>
  </r>
  <r>
    <x v="59"/>
    <x v="55"/>
    <x v="59"/>
    <x v="0"/>
    <x v="0"/>
    <x v="6"/>
    <x v="3"/>
    <x v="13"/>
    <x v="59"/>
    <x v="3"/>
  </r>
  <r>
    <x v="60"/>
    <x v="56"/>
    <x v="60"/>
    <x v="0"/>
    <x v="0"/>
    <x v="7"/>
    <x v="3"/>
    <x v="14"/>
    <x v="60"/>
    <x v="3"/>
  </r>
  <r>
    <x v="61"/>
    <x v="57"/>
    <x v="61"/>
    <x v="0"/>
    <x v="0"/>
    <x v="7"/>
    <x v="3"/>
    <x v="15"/>
    <x v="61"/>
    <x v="3"/>
  </r>
  <r>
    <x v="62"/>
    <x v="58"/>
    <x v="62"/>
    <x v="0"/>
    <x v="0"/>
    <x v="0"/>
    <x v="3"/>
    <x v="16"/>
    <x v="62"/>
    <x v="3"/>
  </r>
  <r>
    <x v="63"/>
    <x v="59"/>
    <x v="63"/>
    <x v="0"/>
    <x v="0"/>
    <x v="7"/>
    <x v="3"/>
    <x v="17"/>
    <x v="63"/>
    <x v="3"/>
  </r>
  <r>
    <x v="64"/>
    <x v="60"/>
    <x v="64"/>
    <x v="0"/>
    <x v="0"/>
    <x v="0"/>
    <x v="4"/>
    <x v="0"/>
    <x v="64"/>
    <x v="4"/>
  </r>
  <r>
    <x v="65"/>
    <x v="61"/>
    <x v="65"/>
    <x v="0"/>
    <x v="0"/>
    <x v="0"/>
    <x v="4"/>
    <x v="1"/>
    <x v="65"/>
    <x v="4"/>
  </r>
  <r>
    <x v="66"/>
    <x v="62"/>
    <x v="66"/>
    <x v="0"/>
    <x v="0"/>
    <x v="0"/>
    <x v="4"/>
    <x v="2"/>
    <x v="66"/>
    <x v="4"/>
  </r>
  <r>
    <x v="67"/>
    <x v="63"/>
    <x v="67"/>
    <x v="0"/>
    <x v="0"/>
    <x v="0"/>
    <x v="4"/>
    <x v="3"/>
    <x v="67"/>
    <x v="4"/>
  </r>
  <r>
    <x v="68"/>
    <x v="64"/>
    <x v="68"/>
    <x v="0"/>
    <x v="0"/>
    <x v="0"/>
    <x v="4"/>
    <x v="4"/>
    <x v="68"/>
    <x v="4"/>
  </r>
  <r>
    <x v="69"/>
    <x v="65"/>
    <x v="69"/>
    <x v="0"/>
    <x v="0"/>
    <x v="10"/>
    <x v="4"/>
    <x v="5"/>
    <x v="69"/>
    <x v="4"/>
  </r>
  <r>
    <x v="70"/>
    <x v="66"/>
    <x v="70"/>
    <x v="2"/>
    <x v="0"/>
    <x v="11"/>
    <x v="4"/>
    <x v="6"/>
    <x v="70"/>
    <x v="4"/>
  </r>
  <r>
    <x v="71"/>
    <x v="67"/>
    <x v="71"/>
    <x v="0"/>
    <x v="0"/>
    <x v="0"/>
    <x v="4"/>
    <x v="7"/>
    <x v="71"/>
    <x v="4"/>
  </r>
  <r>
    <x v="72"/>
    <x v="68"/>
    <x v="72"/>
    <x v="0"/>
    <x v="0"/>
    <x v="0"/>
    <x v="4"/>
    <x v="8"/>
    <x v="72"/>
    <x v="4"/>
  </r>
  <r>
    <x v="73"/>
    <x v="69"/>
    <x v="73"/>
    <x v="3"/>
    <x v="0"/>
    <x v="12"/>
    <x v="4"/>
    <x v="9"/>
    <x v="73"/>
    <x v="4"/>
  </r>
  <r>
    <x v="74"/>
    <x v="70"/>
    <x v="74"/>
    <x v="0"/>
    <x v="0"/>
    <x v="0"/>
    <x v="4"/>
    <x v="10"/>
    <x v="74"/>
    <x v="4"/>
  </r>
  <r>
    <x v="75"/>
    <x v="71"/>
    <x v="75"/>
    <x v="4"/>
    <x v="0"/>
    <x v="13"/>
    <x v="4"/>
    <x v="11"/>
    <x v="75"/>
    <x v="4"/>
  </r>
  <r>
    <x v="76"/>
    <x v="72"/>
    <x v="76"/>
    <x v="0"/>
    <x v="0"/>
    <x v="10"/>
    <x v="4"/>
    <x v="12"/>
    <x v="76"/>
    <x v="4"/>
  </r>
  <r>
    <x v="77"/>
    <x v="73"/>
    <x v="77"/>
    <x v="0"/>
    <x v="0"/>
    <x v="0"/>
    <x v="4"/>
    <x v="13"/>
    <x v="77"/>
    <x v="4"/>
  </r>
  <r>
    <x v="78"/>
    <x v="74"/>
    <x v="78"/>
    <x v="0"/>
    <x v="0"/>
    <x v="0"/>
    <x v="4"/>
    <x v="14"/>
    <x v="78"/>
    <x v="4"/>
  </r>
  <r>
    <x v="79"/>
    <x v="75"/>
    <x v="79"/>
    <x v="0"/>
    <x v="0"/>
    <x v="0"/>
    <x v="5"/>
    <x v="0"/>
    <x v="79"/>
    <x v="5"/>
  </r>
  <r>
    <x v="80"/>
    <x v="76"/>
    <x v="80"/>
    <x v="0"/>
    <x v="0"/>
    <x v="0"/>
    <x v="5"/>
    <x v="1"/>
    <x v="80"/>
    <x v="5"/>
  </r>
  <r>
    <x v="81"/>
    <x v="77"/>
    <x v="81"/>
    <x v="0"/>
    <x v="0"/>
    <x v="0"/>
    <x v="5"/>
    <x v="2"/>
    <x v="81"/>
    <x v="5"/>
  </r>
  <r>
    <x v="82"/>
    <x v="78"/>
    <x v="82"/>
    <x v="0"/>
    <x v="0"/>
    <x v="0"/>
    <x v="5"/>
    <x v="3"/>
    <x v="82"/>
    <x v="5"/>
  </r>
  <r>
    <x v="83"/>
    <x v="79"/>
    <x v="83"/>
    <x v="0"/>
    <x v="0"/>
    <x v="0"/>
    <x v="5"/>
    <x v="4"/>
    <x v="83"/>
    <x v="5"/>
  </r>
  <r>
    <x v="84"/>
    <x v="80"/>
    <x v="84"/>
    <x v="0"/>
    <x v="0"/>
    <x v="0"/>
    <x v="5"/>
    <x v="5"/>
    <x v="84"/>
    <x v="5"/>
  </r>
  <r>
    <x v="85"/>
    <x v="81"/>
    <x v="85"/>
    <x v="0"/>
    <x v="0"/>
    <x v="0"/>
    <x v="5"/>
    <x v="6"/>
    <x v="85"/>
    <x v="5"/>
  </r>
  <r>
    <x v="86"/>
    <x v="82"/>
    <x v="86"/>
    <x v="0"/>
    <x v="0"/>
    <x v="0"/>
    <x v="5"/>
    <x v="7"/>
    <x v="86"/>
    <x v="5"/>
  </r>
  <r>
    <x v="87"/>
    <x v="83"/>
    <x v="87"/>
    <x v="0"/>
    <x v="0"/>
    <x v="0"/>
    <x v="5"/>
    <x v="8"/>
    <x v="87"/>
    <x v="5"/>
  </r>
  <r>
    <x v="88"/>
    <x v="84"/>
    <x v="88"/>
    <x v="0"/>
    <x v="0"/>
    <x v="12"/>
    <x v="5"/>
    <x v="9"/>
    <x v="88"/>
    <x v="5"/>
  </r>
  <r>
    <x v="89"/>
    <x v="85"/>
    <x v="89"/>
    <x v="0"/>
    <x v="0"/>
    <x v="0"/>
    <x v="5"/>
    <x v="10"/>
    <x v="89"/>
    <x v="5"/>
  </r>
  <r>
    <x v="90"/>
    <x v="86"/>
    <x v="90"/>
    <x v="0"/>
    <x v="0"/>
    <x v="0"/>
    <x v="5"/>
    <x v="11"/>
    <x v="90"/>
    <x v="5"/>
  </r>
  <r>
    <x v="91"/>
    <x v="87"/>
    <x v="91"/>
    <x v="0"/>
    <x v="0"/>
    <x v="12"/>
    <x v="5"/>
    <x v="12"/>
    <x v="91"/>
    <x v="5"/>
  </r>
  <r>
    <x v="92"/>
    <x v="88"/>
    <x v="92"/>
    <x v="0"/>
    <x v="0"/>
    <x v="0"/>
    <x v="5"/>
    <x v="13"/>
    <x v="92"/>
    <x v="5"/>
  </r>
  <r>
    <x v="93"/>
    <x v="89"/>
    <x v="93"/>
    <x v="0"/>
    <x v="0"/>
    <x v="12"/>
    <x v="5"/>
    <x v="14"/>
    <x v="93"/>
    <x v="5"/>
  </r>
  <r>
    <x v="94"/>
    <x v="90"/>
    <x v="94"/>
    <x v="0"/>
    <x v="0"/>
    <x v="0"/>
    <x v="5"/>
    <x v="15"/>
    <x v="94"/>
    <x v="5"/>
  </r>
  <r>
    <x v="95"/>
    <x v="91"/>
    <x v="95"/>
    <x v="0"/>
    <x v="0"/>
    <x v="0"/>
    <x v="6"/>
    <x v="0"/>
    <x v="95"/>
    <x v="6"/>
  </r>
  <r>
    <x v="96"/>
    <x v="92"/>
    <x v="96"/>
    <x v="0"/>
    <x v="0"/>
    <x v="10"/>
    <x v="6"/>
    <x v="1"/>
    <x v="96"/>
    <x v="6"/>
  </r>
  <r>
    <x v="97"/>
    <x v="93"/>
    <x v="97"/>
    <x v="0"/>
    <x v="0"/>
    <x v="10"/>
    <x v="6"/>
    <x v="2"/>
    <x v="97"/>
    <x v="6"/>
  </r>
  <r>
    <x v="98"/>
    <x v="94"/>
    <x v="98"/>
    <x v="0"/>
    <x v="0"/>
    <x v="14"/>
    <x v="6"/>
    <x v="3"/>
    <x v="98"/>
    <x v="6"/>
  </r>
  <r>
    <x v="99"/>
    <x v="95"/>
    <x v="99"/>
    <x v="0"/>
    <x v="0"/>
    <x v="10"/>
    <x v="6"/>
    <x v="4"/>
    <x v="99"/>
    <x v="6"/>
  </r>
  <r>
    <x v="100"/>
    <x v="96"/>
    <x v="100"/>
    <x v="0"/>
    <x v="0"/>
    <x v="10"/>
    <x v="6"/>
    <x v="5"/>
    <x v="100"/>
    <x v="6"/>
  </r>
  <r>
    <x v="101"/>
    <x v="97"/>
    <x v="101"/>
    <x v="0"/>
    <x v="0"/>
    <x v="0"/>
    <x v="6"/>
    <x v="6"/>
    <x v="101"/>
    <x v="6"/>
  </r>
  <r>
    <x v="102"/>
    <x v="98"/>
    <x v="102"/>
    <x v="0"/>
    <x v="0"/>
    <x v="0"/>
    <x v="6"/>
    <x v="7"/>
    <x v="102"/>
    <x v="6"/>
  </r>
  <r>
    <x v="103"/>
    <x v="99"/>
    <x v="103"/>
    <x v="0"/>
    <x v="0"/>
    <x v="0"/>
    <x v="6"/>
    <x v="8"/>
    <x v="103"/>
    <x v="6"/>
  </r>
  <r>
    <x v="104"/>
    <x v="100"/>
    <x v="104"/>
    <x v="0"/>
    <x v="0"/>
    <x v="0"/>
    <x v="6"/>
    <x v="9"/>
    <x v="104"/>
    <x v="6"/>
  </r>
  <r>
    <x v="105"/>
    <x v="101"/>
    <x v="105"/>
    <x v="0"/>
    <x v="0"/>
    <x v="0"/>
    <x v="6"/>
    <x v="10"/>
    <x v="105"/>
    <x v="6"/>
  </r>
  <r>
    <x v="106"/>
    <x v="102"/>
    <x v="106"/>
    <x v="0"/>
    <x v="0"/>
    <x v="10"/>
    <x v="6"/>
    <x v="11"/>
    <x v="106"/>
    <x v="6"/>
  </r>
  <r>
    <x v="107"/>
    <x v="103"/>
    <x v="107"/>
    <x v="0"/>
    <x v="0"/>
    <x v="10"/>
    <x v="6"/>
    <x v="12"/>
    <x v="107"/>
    <x v="6"/>
  </r>
  <r>
    <x v="108"/>
    <x v="104"/>
    <x v="108"/>
    <x v="0"/>
    <x v="0"/>
    <x v="0"/>
    <x v="7"/>
    <x v="0"/>
    <x v="108"/>
    <x v="7"/>
  </r>
  <r>
    <x v="109"/>
    <x v="105"/>
    <x v="109"/>
    <x v="0"/>
    <x v="0"/>
    <x v="12"/>
    <x v="7"/>
    <x v="1"/>
    <x v="109"/>
    <x v="7"/>
  </r>
  <r>
    <x v="110"/>
    <x v="106"/>
    <x v="110"/>
    <x v="0"/>
    <x v="0"/>
    <x v="12"/>
    <x v="7"/>
    <x v="2"/>
    <x v="110"/>
    <x v="7"/>
  </r>
  <r>
    <x v="111"/>
    <x v="107"/>
    <x v="111"/>
    <x v="0"/>
    <x v="0"/>
    <x v="10"/>
    <x v="7"/>
    <x v="3"/>
    <x v="111"/>
    <x v="7"/>
  </r>
  <r>
    <x v="112"/>
    <x v="108"/>
    <x v="112"/>
    <x v="0"/>
    <x v="0"/>
    <x v="0"/>
    <x v="7"/>
    <x v="4"/>
    <x v="112"/>
    <x v="7"/>
  </r>
  <r>
    <x v="113"/>
    <x v="109"/>
    <x v="113"/>
    <x v="0"/>
    <x v="0"/>
    <x v="0"/>
    <x v="7"/>
    <x v="5"/>
    <x v="113"/>
    <x v="7"/>
  </r>
  <r>
    <x v="114"/>
    <x v="110"/>
    <x v="114"/>
    <x v="0"/>
    <x v="0"/>
    <x v="0"/>
    <x v="7"/>
    <x v="6"/>
    <x v="114"/>
    <x v="7"/>
  </r>
  <r>
    <x v="115"/>
    <x v="111"/>
    <x v="115"/>
    <x v="0"/>
    <x v="0"/>
    <x v="10"/>
    <x v="7"/>
    <x v="7"/>
    <x v="115"/>
    <x v="7"/>
  </r>
  <r>
    <x v="116"/>
    <x v="112"/>
    <x v="116"/>
    <x v="0"/>
    <x v="0"/>
    <x v="0"/>
    <x v="7"/>
    <x v="8"/>
    <x v="116"/>
    <x v="7"/>
  </r>
  <r>
    <x v="117"/>
    <x v="113"/>
    <x v="117"/>
    <x v="0"/>
    <x v="0"/>
    <x v="0"/>
    <x v="7"/>
    <x v="9"/>
    <x v="117"/>
    <x v="7"/>
  </r>
  <r>
    <x v="118"/>
    <x v="114"/>
    <x v="118"/>
    <x v="0"/>
    <x v="0"/>
    <x v="10"/>
    <x v="7"/>
    <x v="10"/>
    <x v="118"/>
    <x v="7"/>
  </r>
  <r>
    <x v="119"/>
    <x v="115"/>
    <x v="119"/>
    <x v="0"/>
    <x v="0"/>
    <x v="10"/>
    <x v="7"/>
    <x v="11"/>
    <x v="119"/>
    <x v="7"/>
  </r>
  <r>
    <x v="120"/>
    <x v="116"/>
    <x v="120"/>
    <x v="0"/>
    <x v="0"/>
    <x v="10"/>
    <x v="7"/>
    <x v="12"/>
    <x v="120"/>
    <x v="7"/>
  </r>
  <r>
    <x v="121"/>
    <x v="117"/>
    <x v="121"/>
    <x v="0"/>
    <x v="0"/>
    <x v="0"/>
    <x v="7"/>
    <x v="13"/>
    <x v="121"/>
    <x v="7"/>
  </r>
  <r>
    <x v="122"/>
    <x v="118"/>
    <x v="122"/>
    <x v="0"/>
    <x v="0"/>
    <x v="15"/>
    <x v="7"/>
    <x v="14"/>
    <x v="122"/>
    <x v="7"/>
  </r>
  <r>
    <x v="123"/>
    <x v="119"/>
    <x v="123"/>
    <x v="0"/>
    <x v="0"/>
    <x v="10"/>
    <x v="7"/>
    <x v="15"/>
    <x v="12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F94A0-23B3-48CE-95AD-28A2014CACD4}" name="PivotTable2" cacheId="1" applyNumberFormats="0" applyBorderFormats="0" applyFontFormats="0" applyPatternFormats="0" applyAlignmentFormats="0" applyWidthHeightFormats="1" dataCaption="Values" updatedVersion="7" minRefreshableVersion="3" showDrill="0" rowGrandTotals="0" colGrandTotals="0" itemPrintTitles="1" createdVersion="7" indent="0" showHeaders="0" outline="1" outlineData="1" multipleFieldFilters="0" customListSort="0">
  <location ref="A2:B20" firstHeaderRow="1" firstDataRow="1" firstDataCol="1"/>
  <pivotFields count="10">
    <pivotField axis="axisRow" showAll="0" nonAutoSortDefault="1" defaultSubtotal="0">
      <items count="124">
        <item sd="0" x="46"/>
        <item sd="0" x="108"/>
        <item sd="0" x="0"/>
        <item sd="0" x="10"/>
        <item sd="0" x="64"/>
        <item sd="0" x="25"/>
        <item sd="0" x="95"/>
        <item sd="0" x="79"/>
        <item sd="0" x="47"/>
        <item sd="0" x="109"/>
        <item sd="0" x="80"/>
        <item sd="0" x="26"/>
        <item sd="0" x="65"/>
        <item sd="0" x="96"/>
        <item sd="0" x="1"/>
        <item sd="0" x="11"/>
        <item sd="0" x="48"/>
        <item sd="0" x="2"/>
        <item sd="0" x="81"/>
        <item sd="0" x="12"/>
        <item sd="0" x="66"/>
        <item sd="0" x="110"/>
        <item sd="0" x="97"/>
        <item sd="0" x="27"/>
        <item sd="0" x="49"/>
        <item sd="0" x="111"/>
        <item sd="0" x="98"/>
        <item sd="0" x="82"/>
        <item sd="0" x="13"/>
        <item sd="0" x="67"/>
        <item sd="0" x="3"/>
        <item sd="0" x="28"/>
        <item sd="0" x="50"/>
        <item sd="0" x="83"/>
        <item sd="0" x="112"/>
        <item sd="0" x="99"/>
        <item sd="0" x="68"/>
        <item sd="0" x="4"/>
        <item sd="0" x="14"/>
        <item sd="0" x="29"/>
        <item sd="0" x="51"/>
        <item sd="0" x="113"/>
        <item sd="0" x="84"/>
        <item sd="0" x="100"/>
        <item sd="0" x="30"/>
        <item sd="0" x="5"/>
        <item sd="0" x="15"/>
        <item sd="0" x="69"/>
        <item sd="0" x="52"/>
        <item sd="0" x="70"/>
        <item sd="0" x="6"/>
        <item sd="0" x="114"/>
        <item sd="0" x="101"/>
        <item sd="0" x="31"/>
        <item sd="0" x="16"/>
        <item sd="0" x="85"/>
        <item sd="0" x="53"/>
        <item sd="0" x="115"/>
        <item sd="0" x="102"/>
        <item sd="0" x="86"/>
        <item sd="0" x="17"/>
        <item sd="0" x="71"/>
        <item sd="0" x="32"/>
        <item sd="0" x="7"/>
        <item sd="0" x="54"/>
        <item sd="0" x="103"/>
        <item sd="0" x="116"/>
        <item sd="0" x="87"/>
        <item sd="0" x="72"/>
        <item sd="0" x="33"/>
        <item sd="0" x="18"/>
        <item sd="0" x="8"/>
        <item sd="0" x="55"/>
        <item sd="0" x="19"/>
        <item sd="0" x="117"/>
        <item sd="0" x="73"/>
        <item sd="0" x="88"/>
        <item sd="0" x="34"/>
        <item sd="0" x="104"/>
        <item sd="0" x="9"/>
        <item sd="0" x="56"/>
        <item sd="0" x="105"/>
        <item sd="0" x="89"/>
        <item sd="0" x="118"/>
        <item sd="0" x="20"/>
        <item sd="0" x="74"/>
        <item sd="0" x="35"/>
        <item sd="0" x="57"/>
        <item sd="0" x="90"/>
        <item sd="0" x="36"/>
        <item sd="0" x="21"/>
        <item sd="0" x="119"/>
        <item sd="0" x="106"/>
        <item sd="0" x="75"/>
        <item sd="0" x="58"/>
        <item sd="0" x="120"/>
        <item sd="0" x="107"/>
        <item sd="0" x="37"/>
        <item sd="0" x="22"/>
        <item sd="0" x="91"/>
        <item sd="0" x="76"/>
        <item sd="0" x="59"/>
        <item sd="0" x="92"/>
        <item sd="0" x="121"/>
        <item sd="0" x="77"/>
        <item sd="0" x="38"/>
        <item sd="0" x="23"/>
        <item sd="0" x="60"/>
        <item sd="0" x="78"/>
        <item sd="0" x="122"/>
        <item sd="0" x="39"/>
        <item sd="0" x="24"/>
        <item sd="0" x="93"/>
        <item sd="0" x="61"/>
        <item sd="0" x="94"/>
        <item sd="0" x="123"/>
        <item sd="0" x="40"/>
        <item sd="0" x="62"/>
        <item sd="0" x="41"/>
        <item sd="0" x="63"/>
        <item sd="0" x="42"/>
        <item sd="0" x="43"/>
        <item sd="0" x="44"/>
        <item sd="0" x="45"/>
      </items>
    </pivotField>
    <pivotField showAll="0">
      <items count="121">
        <item sd="0" x="111"/>
        <item sd="0" x="79"/>
        <item sd="0" x="103"/>
        <item x="107"/>
        <item x="80"/>
        <item x="116"/>
        <item x="85"/>
        <item x="86"/>
        <item x="109"/>
        <item x="98"/>
        <item x="95"/>
        <item x="88"/>
        <item x="101"/>
        <item x="108"/>
        <item x="99"/>
        <item x="117"/>
        <item x="114"/>
        <item x="105"/>
        <item x="75"/>
        <item x="33"/>
        <item x="115"/>
        <item x="106"/>
        <item x="66"/>
        <item x="102"/>
        <item x="81"/>
        <item x="71"/>
        <item x="19"/>
        <item x="32"/>
        <item x="18"/>
        <item x="26"/>
        <item x="41"/>
        <item x="40"/>
        <item x="119"/>
        <item x="27"/>
        <item x="29"/>
        <item x="58"/>
        <item x="10"/>
        <item x="2"/>
        <item x="6"/>
        <item x="50"/>
        <item x="8"/>
        <item x="7"/>
        <item x="51"/>
        <item x="82"/>
        <item x="11"/>
        <item x="100"/>
        <item x="112"/>
        <item x="62"/>
        <item x="61"/>
        <item x="70"/>
        <item x="74"/>
        <item x="73"/>
        <item x="68"/>
        <item x="67"/>
        <item x="9"/>
        <item x="25"/>
        <item x="3"/>
        <item x="0"/>
        <item x="20"/>
        <item x="5"/>
        <item x="4"/>
        <item x="55"/>
        <item x="56"/>
        <item x="54"/>
        <item x="110"/>
        <item x="24"/>
        <item x="36"/>
        <item x="46"/>
        <item x="37"/>
        <item x="21"/>
        <item x="48"/>
        <item x="52"/>
        <item x="60"/>
        <item x="23"/>
        <item x="22"/>
        <item x="34"/>
        <item x="39"/>
        <item x="53"/>
        <item x="118"/>
        <item x="16"/>
        <item x="35"/>
        <item x="104"/>
        <item x="90"/>
        <item x="78"/>
        <item x="44"/>
        <item x="13"/>
        <item x="14"/>
        <item x="45"/>
        <item x="89"/>
        <item x="30"/>
        <item x="15"/>
        <item x="17"/>
        <item x="91"/>
        <item x="31"/>
        <item x="64"/>
        <item x="63"/>
        <item x="77"/>
        <item x="76"/>
        <item x="12"/>
        <item x="43"/>
        <item x="59"/>
        <item x="57"/>
        <item x="113"/>
        <item x="83"/>
        <item x="38"/>
        <item x="94"/>
        <item x="28"/>
        <item x="87"/>
        <item x="84"/>
        <item x="69"/>
        <item x="96"/>
        <item x="97"/>
        <item x="49"/>
        <item x="47"/>
        <item x="42"/>
        <item x="72"/>
        <item x="65"/>
        <item x="93"/>
        <item x="92"/>
        <item x="1"/>
        <item t="default"/>
      </items>
    </pivotField>
    <pivotField showAll="0">
      <items count="125">
        <item x="0"/>
        <item x="1"/>
        <item x="2"/>
        <item x="3"/>
        <item x="5"/>
        <item x="6"/>
        <item x="7"/>
        <item x="8"/>
        <item x="4"/>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6">
        <item x="1"/>
        <item x="2"/>
        <item x="3"/>
        <item x="4"/>
        <item x="0"/>
        <item t="default"/>
      </items>
    </pivotField>
    <pivotField showAll="0">
      <items count="2">
        <item x="0"/>
        <item t="default"/>
      </items>
    </pivotField>
    <pivotField showAll="0">
      <items count="17">
        <item x="5"/>
        <item x="15"/>
        <item x="3"/>
        <item x="2"/>
        <item x="8"/>
        <item x="9"/>
        <item x="1"/>
        <item x="4"/>
        <item x="12"/>
        <item x="6"/>
        <item x="7"/>
        <item x="10"/>
        <item x="13"/>
        <item x="11"/>
        <item x="14"/>
        <item x="0"/>
        <item t="default"/>
      </items>
    </pivotField>
    <pivotField multipleItemSelectionAllowed="1" showAll="0" defaultSubtotal="0">
      <items count="8">
        <item h="1" x="0"/>
        <item h="1" x="1"/>
        <item h="1" x="2"/>
        <item x="3"/>
        <item h="1" x="4"/>
        <item h="1" x="5"/>
        <item h="1" x="6"/>
        <item h="1" x="7"/>
      </items>
    </pivotField>
    <pivotField dataField="1" showAll="0">
      <items count="22">
        <item x="0"/>
        <item x="1"/>
        <item x="2"/>
        <item x="3"/>
        <item x="4"/>
        <item x="5"/>
        <item x="6"/>
        <item x="7"/>
        <item x="8"/>
        <item x="9"/>
        <item x="10"/>
        <item x="11"/>
        <item x="12"/>
        <item x="13"/>
        <item x="14"/>
        <item x="15"/>
        <item x="16"/>
        <item x="17"/>
        <item x="18"/>
        <item x="19"/>
        <item x="20"/>
        <item t="default"/>
      </items>
    </pivotField>
    <pivotField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9">
        <item x="0"/>
        <item x="1"/>
        <item x="2"/>
        <item x="3"/>
        <item x="4"/>
        <item x="5"/>
        <item x="6"/>
        <item x="7"/>
        <item t="default"/>
      </items>
    </pivotField>
  </pivotFields>
  <rowFields count="1">
    <field x="0"/>
  </rowFields>
  <rowItems count="18">
    <i>
      <x/>
    </i>
    <i>
      <x v="8"/>
    </i>
    <i>
      <x v="16"/>
    </i>
    <i>
      <x v="24"/>
    </i>
    <i>
      <x v="32"/>
    </i>
    <i>
      <x v="40"/>
    </i>
    <i>
      <x v="48"/>
    </i>
    <i>
      <x v="56"/>
    </i>
    <i>
      <x v="64"/>
    </i>
    <i>
      <x v="72"/>
    </i>
    <i>
      <x v="80"/>
    </i>
    <i>
      <x v="87"/>
    </i>
    <i>
      <x v="94"/>
    </i>
    <i>
      <x v="101"/>
    </i>
    <i>
      <x v="107"/>
    </i>
    <i>
      <x v="113"/>
    </i>
    <i>
      <x v="117"/>
    </i>
    <i>
      <x v="119"/>
    </i>
  </rowItems>
  <colItems count="1">
    <i/>
  </colItems>
  <dataFields count="1">
    <dataField name="Sum of s" fld="7" baseField="0" baseItem="0"/>
  </dataFields>
  <formats count="4">
    <format dxfId="3">
      <pivotArea type="all" dataOnly="0" outline="0" fieldPosition="0"/>
    </format>
    <format dxfId="2">
      <pivotArea dataOnly="0" labelOnly="1" fieldPosition="0">
        <references count="1">
          <reference field="0" count="10">
            <x v="2"/>
            <x v="14"/>
            <x v="17"/>
            <x v="30"/>
            <x v="37"/>
            <x v="45"/>
            <x v="50"/>
            <x v="63"/>
            <x v="71"/>
            <x v="79"/>
          </reference>
        </references>
      </pivotArea>
    </format>
    <format dxfId="1">
      <pivotArea type="all" dataOnly="0" outline="0" fieldPosition="0"/>
    </format>
    <format dxfId="0">
      <pivotArea dataOnly="0" labelOnly="1" fieldPosition="0">
        <references count="1">
          <reference field="0" count="18">
            <x v="0"/>
            <x v="8"/>
            <x v="16"/>
            <x v="24"/>
            <x v="32"/>
            <x v="40"/>
            <x v="48"/>
            <x v="56"/>
            <x v="64"/>
            <x v="72"/>
            <x v="80"/>
            <x v="87"/>
            <x v="94"/>
            <x v="101"/>
            <x v="107"/>
            <x v="113"/>
            <x v="117"/>
            <x v="1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 xr10:uid="{0CB520E9-430C-4D73-A706-82B793718DD4}" sourceName="c">
  <pivotTables>
    <pivotTable tabId="15" name="PivotTable2"/>
  </pivotTables>
  <data>
    <tabular pivotCacheId="1696338418">
      <items count="8">
        <i x="0"/>
        <i x="1"/>
        <i x="2"/>
        <i x="3" s="1"/>
        <i x="4"/>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sson #" xr10:uid="{AF95CDDD-169B-463F-93EC-A85BDFB65901}" cache="Slicer_c" caption="Lesson #"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9.bin"/><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0B7A-6A28-454F-A3AD-F61681AF5828}">
  <dimension ref="A1:H32"/>
  <sheetViews>
    <sheetView workbookViewId="0">
      <selection activeCell="H25" sqref="H25"/>
    </sheetView>
  </sheetViews>
  <sheetFormatPr defaultRowHeight="15" x14ac:dyDescent="0.25"/>
  <cols>
    <col min="1" max="1" width="64" customWidth="1"/>
    <col min="2" max="2" width="67.42578125" bestFit="1" customWidth="1"/>
    <col min="3" max="3" width="9.140625" style="1"/>
    <col min="4" max="4" width="11.140625" style="1" bestFit="1" customWidth="1"/>
    <col min="5" max="5" width="50.5703125" bestFit="1" customWidth="1"/>
    <col min="6" max="6" width="2.42578125" customWidth="1"/>
    <col min="7" max="7" width="3.28515625" customWidth="1"/>
    <col min="8" max="8" width="50.5703125" bestFit="1" customWidth="1"/>
  </cols>
  <sheetData>
    <row r="1" spans="1:8" ht="15.75" thickBot="1" x14ac:dyDescent="0.3">
      <c r="A1" s="33" t="s">
        <v>121</v>
      </c>
      <c r="B1" s="23" t="s">
        <v>1</v>
      </c>
      <c r="C1" s="23" t="s">
        <v>122</v>
      </c>
      <c r="D1" s="23" t="s">
        <v>123</v>
      </c>
      <c r="E1" s="26" t="s">
        <v>125</v>
      </c>
    </row>
    <row r="2" spans="1:8" x14ac:dyDescent="0.25">
      <c r="A2" s="35" t="s">
        <v>3</v>
      </c>
      <c r="B2" s="27" t="s">
        <v>44</v>
      </c>
      <c r="C2" s="40"/>
      <c r="D2" s="41" t="str">
        <f>IF(C2="x",COUNTA($C$2:C2),".")</f>
        <v>.</v>
      </c>
      <c r="E2" s="14" t="str">
        <f>IF(C2="x",A2,"---")</f>
        <v>---</v>
      </c>
      <c r="G2" s="2">
        <v>1</v>
      </c>
      <c r="H2" s="2" t="s">
        <v>7</v>
      </c>
    </row>
    <row r="3" spans="1:8" x14ac:dyDescent="0.25">
      <c r="A3" s="35" t="s">
        <v>4</v>
      </c>
      <c r="B3" s="27"/>
      <c r="C3" s="40"/>
      <c r="D3" s="41" t="str">
        <f>IF(C3="x",COUNTA($C$2:C3),".")</f>
        <v>.</v>
      </c>
      <c r="E3" s="14" t="str">
        <f t="shared" ref="E3:E32" si="0">IF(C3="x",A3,"---")</f>
        <v>---</v>
      </c>
      <c r="G3" s="2">
        <v>2</v>
      </c>
      <c r="H3" s="2" t="s">
        <v>11</v>
      </c>
    </row>
    <row r="4" spans="1:8" x14ac:dyDescent="0.25">
      <c r="A4" s="35" t="s">
        <v>5</v>
      </c>
      <c r="B4" s="27"/>
      <c r="C4" s="40"/>
      <c r="D4" s="41" t="str">
        <f>IF(C4="x",COUNTA($C$2:C4),".")</f>
        <v>.</v>
      </c>
      <c r="E4" s="14" t="str">
        <f t="shared" si="0"/>
        <v>---</v>
      </c>
      <c r="G4" s="2">
        <v>3</v>
      </c>
      <c r="H4" s="2" t="s">
        <v>13</v>
      </c>
    </row>
    <row r="5" spans="1:8" x14ac:dyDescent="0.25">
      <c r="A5" s="35" t="s">
        <v>6</v>
      </c>
      <c r="B5" s="29" t="s">
        <v>58</v>
      </c>
      <c r="C5" s="40"/>
      <c r="D5" s="41" t="str">
        <f>IF(C5="x",COUNTA($C$2:C5),".")</f>
        <v>.</v>
      </c>
      <c r="E5" s="14" t="str">
        <f t="shared" si="0"/>
        <v>---</v>
      </c>
      <c r="G5" s="2">
        <v>4</v>
      </c>
      <c r="H5" s="2" t="s">
        <v>12</v>
      </c>
    </row>
    <row r="6" spans="1:8" x14ac:dyDescent="0.25">
      <c r="A6" s="35" t="s">
        <v>7</v>
      </c>
      <c r="B6" s="27"/>
      <c r="C6" s="40" t="s">
        <v>124</v>
      </c>
      <c r="D6" s="41">
        <f>IF(C6="x",COUNTA($C$2:C6),".")</f>
        <v>1</v>
      </c>
      <c r="E6" s="14" t="str">
        <f t="shared" si="0"/>
        <v>j'ai invité un ami</v>
      </c>
      <c r="G6" s="2">
        <v>5</v>
      </c>
      <c r="H6" s="2" t="s">
        <v>22</v>
      </c>
    </row>
    <row r="7" spans="1:8" x14ac:dyDescent="0.25">
      <c r="A7" s="35" t="s">
        <v>20</v>
      </c>
      <c r="B7" s="27"/>
      <c r="C7" s="40"/>
      <c r="D7" s="41" t="str">
        <f>IF(C7="x",COUNTA($C$2:C7),".")</f>
        <v>.</v>
      </c>
      <c r="E7" s="14" t="str">
        <f t="shared" si="0"/>
        <v>---</v>
      </c>
      <c r="G7" s="2">
        <v>6</v>
      </c>
      <c r="H7" s="2" t="s">
        <v>30</v>
      </c>
    </row>
    <row r="8" spans="1:8" x14ac:dyDescent="0.25">
      <c r="A8" s="35" t="s">
        <v>9</v>
      </c>
      <c r="B8" s="27" t="s">
        <v>8</v>
      </c>
      <c r="C8" s="40"/>
      <c r="D8" s="41" t="str">
        <f>IF(C8="x",COUNTA($C$2:C8),".")</f>
        <v>.</v>
      </c>
      <c r="E8" s="14" t="str">
        <f t="shared" si="0"/>
        <v>---</v>
      </c>
      <c r="G8" s="2">
        <v>7</v>
      </c>
      <c r="H8" s="2" t="s">
        <v>19</v>
      </c>
    </row>
    <row r="9" spans="1:8" x14ac:dyDescent="0.25">
      <c r="A9" s="35" t="s">
        <v>10</v>
      </c>
      <c r="B9" s="27"/>
      <c r="C9" s="40"/>
      <c r="D9" s="41" t="str">
        <f>IF(C9="x",COUNTA($C$2:C9),".")</f>
        <v>.</v>
      </c>
      <c r="E9" s="14" t="str">
        <f t="shared" si="0"/>
        <v>---</v>
      </c>
      <c r="G9" s="2">
        <v>8</v>
      </c>
      <c r="H9" s="2" t="s">
        <v>31</v>
      </c>
    </row>
    <row r="10" spans="1:8" x14ac:dyDescent="0.25">
      <c r="A10" s="35" t="s">
        <v>11</v>
      </c>
      <c r="B10" s="27"/>
      <c r="C10" s="40" t="s">
        <v>124</v>
      </c>
      <c r="D10" s="41">
        <f>IF(C10="x",COUNTA($C$2:C10),".")</f>
        <v>2</v>
      </c>
      <c r="E10" s="14" t="str">
        <f t="shared" si="0"/>
        <v>tu as invite un ami</v>
      </c>
      <c r="G10" s="2">
        <v>9</v>
      </c>
      <c r="H10" s="2" t="s">
        <v>34</v>
      </c>
    </row>
    <row r="11" spans="1:8" x14ac:dyDescent="0.25">
      <c r="A11" s="35" t="s">
        <v>13</v>
      </c>
      <c r="B11" s="27" t="s">
        <v>36</v>
      </c>
      <c r="C11" s="40" t="s">
        <v>124</v>
      </c>
      <c r="D11" s="41">
        <f>IF(C11="x",COUNTA($C$2:C11),".")</f>
        <v>3</v>
      </c>
      <c r="E11" s="14" t="str">
        <f t="shared" si="0"/>
        <v>as-tu invite un ami?</v>
      </c>
      <c r="G11" s="2">
        <v>10</v>
      </c>
      <c r="H11" s="2" t="s">
        <v>35</v>
      </c>
    </row>
    <row r="12" spans="1:8" x14ac:dyDescent="0.25">
      <c r="A12" s="35" t="s">
        <v>12</v>
      </c>
      <c r="B12" s="27"/>
      <c r="C12" s="40" t="s">
        <v>124</v>
      </c>
      <c r="D12" s="41">
        <f>IF(C12="x",COUNTA($C$2:C12),".")</f>
        <v>4</v>
      </c>
      <c r="E12" s="14" t="str">
        <f t="shared" si="0"/>
        <v>tu as invite un ami?</v>
      </c>
    </row>
    <row r="13" spans="1:8" x14ac:dyDescent="0.25">
      <c r="A13" s="35" t="s">
        <v>14</v>
      </c>
      <c r="B13" s="27"/>
      <c r="C13" s="40"/>
      <c r="D13" s="41" t="str">
        <f>IF(C13="x",COUNTA($C$2:C13),".")</f>
        <v>.</v>
      </c>
      <c r="E13" s="14" t="str">
        <f t="shared" si="0"/>
        <v>---</v>
      </c>
    </row>
    <row r="14" spans="1:8" x14ac:dyDescent="0.25">
      <c r="A14" s="35" t="s">
        <v>15</v>
      </c>
      <c r="B14" s="27"/>
      <c r="C14" s="40"/>
      <c r="D14" s="41" t="str">
        <f>IF(C14="x",COUNTA($C$2:C14),".")</f>
        <v>.</v>
      </c>
      <c r="E14" s="14" t="str">
        <f t="shared" si="0"/>
        <v>---</v>
      </c>
    </row>
    <row r="15" spans="1:8" x14ac:dyDescent="0.25">
      <c r="A15" s="35" t="s">
        <v>16</v>
      </c>
      <c r="B15" s="27"/>
      <c r="C15" s="40"/>
      <c r="D15" s="41" t="str">
        <f>IF(C15="x",COUNTA($C$2:C15),".")</f>
        <v>.</v>
      </c>
      <c r="E15" s="14" t="str">
        <f t="shared" si="0"/>
        <v>---</v>
      </c>
    </row>
    <row r="16" spans="1:8" x14ac:dyDescent="0.25">
      <c r="A16" s="35" t="s">
        <v>21</v>
      </c>
      <c r="B16" s="27"/>
      <c r="C16" s="40"/>
      <c r="D16" s="41" t="str">
        <f>IF(C16="x",COUNTA($C$2:C16),".")</f>
        <v>.</v>
      </c>
      <c r="E16" s="14" t="str">
        <f t="shared" si="0"/>
        <v>---</v>
      </c>
    </row>
    <row r="17" spans="1:5" x14ac:dyDescent="0.25">
      <c r="A17" s="35" t="s">
        <v>22</v>
      </c>
      <c r="B17" s="27"/>
      <c r="C17" s="40" t="s">
        <v>124</v>
      </c>
      <c r="D17" s="41">
        <f>IF(C17="x",COUNTA($C$2:C17),".")</f>
        <v>5</v>
      </c>
      <c r="E17" s="14" t="str">
        <f t="shared" si="0"/>
        <v>j'ai confirme le meeting avec Ben</v>
      </c>
    </row>
    <row r="18" spans="1:5" x14ac:dyDescent="0.25">
      <c r="A18" s="35" t="s">
        <v>26</v>
      </c>
      <c r="B18" s="27"/>
      <c r="C18" s="40"/>
      <c r="D18" s="41" t="str">
        <f>IF(C18="x",COUNTA($C$2:C18),".")</f>
        <v>.</v>
      </c>
      <c r="E18" s="14" t="str">
        <f t="shared" si="0"/>
        <v>---</v>
      </c>
    </row>
    <row r="19" spans="1:5" x14ac:dyDescent="0.25">
      <c r="A19" s="35" t="s">
        <v>27</v>
      </c>
      <c r="B19" s="27"/>
      <c r="C19" s="40"/>
      <c r="D19" s="41" t="str">
        <f>IF(C19="x",COUNTA($C$2:C19),".")</f>
        <v>.</v>
      </c>
      <c r="E19" s="14" t="str">
        <f t="shared" si="0"/>
        <v>---</v>
      </c>
    </row>
    <row r="20" spans="1:5" x14ac:dyDescent="0.25">
      <c r="A20" s="35" t="s">
        <v>28</v>
      </c>
      <c r="B20" s="27"/>
      <c r="C20" s="40"/>
      <c r="D20" s="41" t="str">
        <f>IF(C20="x",COUNTA($C$2:C20),".")</f>
        <v>.</v>
      </c>
      <c r="E20" s="14" t="str">
        <f t="shared" si="0"/>
        <v>---</v>
      </c>
    </row>
    <row r="21" spans="1:5" x14ac:dyDescent="0.25">
      <c r="A21" s="35" t="s">
        <v>29</v>
      </c>
      <c r="B21" s="27"/>
      <c r="C21" s="40"/>
      <c r="D21" s="41" t="str">
        <f>IF(C21="x",COUNTA($C$2:C21),".")</f>
        <v>.</v>
      </c>
      <c r="E21" s="14" t="str">
        <f t="shared" si="0"/>
        <v>---</v>
      </c>
    </row>
    <row r="22" spans="1:5" x14ac:dyDescent="0.25">
      <c r="A22" s="35" t="s">
        <v>30</v>
      </c>
      <c r="B22" s="27"/>
      <c r="C22" s="40" t="s">
        <v>124</v>
      </c>
      <c r="D22" s="41">
        <f>IF(C22="x",COUNTA($C$2:C22),".")</f>
        <v>6</v>
      </c>
      <c r="E22" s="14" t="str">
        <f t="shared" si="0"/>
        <v>j'ai visite Hanoi avec un ami</v>
      </c>
    </row>
    <row r="23" spans="1:5" x14ac:dyDescent="0.25">
      <c r="A23" s="35" t="s">
        <v>23</v>
      </c>
      <c r="B23" s="27"/>
      <c r="C23" s="40"/>
      <c r="D23" s="41" t="str">
        <f>IF(C23="x",COUNTA($C$2:C23),".")</f>
        <v>.</v>
      </c>
      <c r="E23" s="14" t="str">
        <f t="shared" si="0"/>
        <v>---</v>
      </c>
    </row>
    <row r="24" spans="1:5" x14ac:dyDescent="0.25">
      <c r="A24" s="35" t="s">
        <v>25</v>
      </c>
      <c r="B24" s="27"/>
      <c r="C24" s="40"/>
      <c r="D24" s="41" t="str">
        <f>IF(C24="x",COUNTA($C$2:C24),".")</f>
        <v>.</v>
      </c>
      <c r="E24" s="14" t="str">
        <f t="shared" si="0"/>
        <v>---</v>
      </c>
    </row>
    <row r="25" spans="1:5" x14ac:dyDescent="0.25">
      <c r="A25" s="35" t="s">
        <v>24</v>
      </c>
      <c r="B25" s="27"/>
      <c r="C25" s="40"/>
      <c r="D25" s="41" t="str">
        <f>IF(C25="x",COUNTA($C$2:C25),".")</f>
        <v>.</v>
      </c>
      <c r="E25" s="14" t="str">
        <f t="shared" si="0"/>
        <v>---</v>
      </c>
    </row>
    <row r="26" spans="1:5" x14ac:dyDescent="0.25">
      <c r="A26" s="35" t="s">
        <v>18</v>
      </c>
      <c r="B26" s="27"/>
      <c r="C26" s="40"/>
      <c r="D26" s="41" t="str">
        <f>IF(C26="x",COUNTA($C$2:C26),".")</f>
        <v>.</v>
      </c>
      <c r="E26" s="14" t="str">
        <f t="shared" si="0"/>
        <v>---</v>
      </c>
    </row>
    <row r="27" spans="1:5" x14ac:dyDescent="0.25">
      <c r="A27" s="35" t="s">
        <v>19</v>
      </c>
      <c r="B27" s="27" t="s">
        <v>17</v>
      </c>
      <c r="C27" s="40" t="s">
        <v>124</v>
      </c>
      <c r="D27" s="41">
        <f>IF(C27="x",COUNTA($C$2:C27),".")</f>
        <v>7</v>
      </c>
      <c r="E27" s="14" t="str">
        <f t="shared" si="0"/>
        <v>j'ai prepare le café pour toi</v>
      </c>
    </row>
    <row r="28" spans="1:5" x14ac:dyDescent="0.25">
      <c r="A28" s="35" t="s">
        <v>32</v>
      </c>
      <c r="B28" s="27"/>
      <c r="C28" s="40"/>
      <c r="D28" s="41" t="str">
        <f>IF(C28="x",COUNTA($C$2:C28),".")</f>
        <v>.</v>
      </c>
      <c r="E28" s="14" t="str">
        <f t="shared" si="0"/>
        <v>---</v>
      </c>
    </row>
    <row r="29" spans="1:5" x14ac:dyDescent="0.25">
      <c r="A29" s="35" t="s">
        <v>33</v>
      </c>
      <c r="B29" s="27"/>
      <c r="C29" s="40"/>
      <c r="D29" s="41" t="str">
        <f>IF(C29="x",COUNTA($C$2:C29),".")</f>
        <v>.</v>
      </c>
      <c r="E29" s="14" t="str">
        <f t="shared" si="0"/>
        <v>---</v>
      </c>
    </row>
    <row r="30" spans="1:5" x14ac:dyDescent="0.25">
      <c r="A30" s="35" t="s">
        <v>31</v>
      </c>
      <c r="B30" s="27"/>
      <c r="C30" s="40" t="s">
        <v>124</v>
      </c>
      <c r="D30" s="41">
        <f>IF(C30="x",COUNTA($C$2:C30),".")</f>
        <v>8</v>
      </c>
      <c r="E30" s="14" t="str">
        <f t="shared" si="0"/>
        <v>tu as prepare le café pour moi?</v>
      </c>
    </row>
    <row r="31" spans="1:5" x14ac:dyDescent="0.25">
      <c r="A31" s="35" t="s">
        <v>34</v>
      </c>
      <c r="B31" s="27"/>
      <c r="C31" s="40" t="s">
        <v>124</v>
      </c>
      <c r="D31" s="41">
        <f>IF(C31="x",COUNTA($C$2:C31),".")</f>
        <v>9</v>
      </c>
      <c r="E31" s="14" t="str">
        <f t="shared" si="0"/>
        <v>tu as visite Hanoi (avec un ami)?</v>
      </c>
    </row>
    <row r="32" spans="1:5" ht="15.75" thickBot="1" x14ac:dyDescent="0.3">
      <c r="A32" s="36" t="s">
        <v>35</v>
      </c>
      <c r="B32" s="28"/>
      <c r="C32" s="42" t="s">
        <v>124</v>
      </c>
      <c r="D32" s="43">
        <f>IF(C32="x",COUNTA($C$2:C32),".")</f>
        <v>10</v>
      </c>
      <c r="E32" s="20" t="str">
        <f t="shared" si="0"/>
        <v>tu as prepare le meeting avec Ben?</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3A30B-F573-4C91-B4F4-6FE432E00B89}">
  <dimension ref="A1:I75"/>
  <sheetViews>
    <sheetView topLeftCell="A17" workbookViewId="0">
      <selection activeCell="D2" sqref="D2:F43"/>
    </sheetView>
  </sheetViews>
  <sheetFormatPr defaultRowHeight="15" x14ac:dyDescent="0.25"/>
  <cols>
    <col min="1" max="1" width="64" customWidth="1"/>
    <col min="2" max="2" width="67.42578125" bestFit="1" customWidth="1"/>
    <col min="3" max="3" width="12.140625" customWidth="1"/>
    <col min="4" max="4" width="9.140625" style="1"/>
    <col min="5" max="5" width="11.140625" style="1" bestFit="1" customWidth="1"/>
    <col min="6" max="6" width="50.5703125" bestFit="1" customWidth="1"/>
    <col min="7" max="7" width="2.42578125" customWidth="1"/>
    <col min="8" max="8" width="3.28515625" customWidth="1"/>
    <col min="9" max="9" width="50.5703125" bestFit="1" customWidth="1"/>
  </cols>
  <sheetData>
    <row r="1" spans="1:9" ht="15.75" thickBot="1" x14ac:dyDescent="0.3">
      <c r="A1" s="33" t="s">
        <v>121</v>
      </c>
      <c r="B1" s="23" t="s">
        <v>1</v>
      </c>
      <c r="C1" s="23" t="s">
        <v>130</v>
      </c>
      <c r="D1" s="39" t="s">
        <v>122</v>
      </c>
      <c r="E1" s="39" t="s">
        <v>123</v>
      </c>
      <c r="F1" s="5"/>
      <c r="I1" s="58"/>
    </row>
    <row r="2" spans="1:9" x14ac:dyDescent="0.25">
      <c r="A2" s="34" t="s">
        <v>67</v>
      </c>
      <c r="B2" s="32" t="s">
        <v>62</v>
      </c>
      <c r="C2" s="32"/>
      <c r="D2" s="56"/>
      <c r="E2" s="57" t="str">
        <f>IF(D2="x",COUNTA($D$2:D2),".")</f>
        <v>.</v>
      </c>
      <c r="F2" s="46" t="str">
        <f t="shared" ref="F2:F36" si="0">IF(D2="x",A2,"---")</f>
        <v>---</v>
      </c>
      <c r="H2">
        <v>1</v>
      </c>
      <c r="I2" t="s">
        <v>38</v>
      </c>
    </row>
    <row r="3" spans="1:9" x14ac:dyDescent="0.25">
      <c r="A3" s="35" t="s">
        <v>37</v>
      </c>
      <c r="B3" s="29" t="s">
        <v>64</v>
      </c>
      <c r="C3" s="29"/>
      <c r="D3" s="40"/>
      <c r="E3" s="41" t="str">
        <f>IF(D3="x",COUNTA($D$2:D3),".")</f>
        <v>.</v>
      </c>
      <c r="F3" s="14" t="str">
        <f t="shared" si="0"/>
        <v>---</v>
      </c>
      <c r="H3">
        <v>2</v>
      </c>
      <c r="I3" t="s">
        <v>39</v>
      </c>
    </row>
    <row r="4" spans="1:9" x14ac:dyDescent="0.25">
      <c r="A4" s="35" t="s">
        <v>38</v>
      </c>
      <c r="B4" s="30"/>
      <c r="C4" s="30"/>
      <c r="D4" s="40" t="s">
        <v>124</v>
      </c>
      <c r="E4" s="41">
        <f>IF(D4="x",COUNTA($D$2:D4),".")</f>
        <v>1</v>
      </c>
      <c r="F4" s="14" t="str">
        <f t="shared" si="0"/>
        <v>j'ai reserve un table</v>
      </c>
      <c r="H4">
        <v>3</v>
      </c>
      <c r="I4" t="s">
        <v>40</v>
      </c>
    </row>
    <row r="5" spans="1:9" x14ac:dyDescent="0.25">
      <c r="A5" s="35" t="s">
        <v>39</v>
      </c>
      <c r="B5" s="30" t="s">
        <v>128</v>
      </c>
      <c r="C5" s="30"/>
      <c r="D5" s="40" t="s">
        <v>124</v>
      </c>
      <c r="E5" s="41">
        <f>IF(D5="x",COUNTA($D$2:D5),".")</f>
        <v>2</v>
      </c>
      <c r="F5" s="14" t="str">
        <f t="shared" si="0"/>
        <v>tu as reserve un table?</v>
      </c>
      <c r="H5">
        <v>4</v>
      </c>
      <c r="I5" t="s">
        <v>129</v>
      </c>
    </row>
    <row r="6" spans="1:9" x14ac:dyDescent="0.25">
      <c r="A6" s="35" t="s">
        <v>40</v>
      </c>
      <c r="B6" s="30"/>
      <c r="C6" s="30" t="s">
        <v>132</v>
      </c>
      <c r="D6" s="40" t="s">
        <v>124</v>
      </c>
      <c r="E6" s="41">
        <f>IF(D6="x",COUNTA($D$2:D6),".")</f>
        <v>3</v>
      </c>
      <c r="F6" s="14" t="str">
        <f t="shared" si="0"/>
        <v>il a reserve un table</v>
      </c>
      <c r="H6">
        <v>5</v>
      </c>
      <c r="I6" t="s">
        <v>48</v>
      </c>
    </row>
    <row r="7" spans="1:9" x14ac:dyDescent="0.25">
      <c r="A7" s="35" t="s">
        <v>129</v>
      </c>
      <c r="B7" s="30"/>
      <c r="C7" s="30"/>
      <c r="D7" s="40" t="s">
        <v>124</v>
      </c>
      <c r="E7" s="41">
        <f>IF(D7="x",COUNTA($D$2:D7),".")</f>
        <v>4</v>
      </c>
      <c r="F7" s="14" t="str">
        <f t="shared" si="0"/>
        <v>elle a reserve un table</v>
      </c>
      <c r="H7">
        <v>6</v>
      </c>
      <c r="I7" t="s">
        <v>49</v>
      </c>
    </row>
    <row r="8" spans="1:9" x14ac:dyDescent="0.25">
      <c r="A8" s="35" t="s">
        <v>46</v>
      </c>
      <c r="B8" s="30"/>
      <c r="C8" s="30" t="s">
        <v>131</v>
      </c>
      <c r="D8" s="40"/>
      <c r="E8" s="41" t="str">
        <f>IF(D8="x",COUNTA($D$2:D8),".")</f>
        <v>.</v>
      </c>
      <c r="F8" s="14" t="str">
        <f t="shared" si="0"/>
        <v>---</v>
      </c>
      <c r="H8">
        <v>7</v>
      </c>
      <c r="I8" t="s">
        <v>50</v>
      </c>
    </row>
    <row r="9" spans="1:9" x14ac:dyDescent="0.25">
      <c r="A9" s="35" t="s">
        <v>47</v>
      </c>
      <c r="B9" s="30"/>
      <c r="C9" s="30"/>
      <c r="D9" s="40"/>
      <c r="E9" s="41" t="str">
        <f>IF(D9="x",COUNTA($D$2:D9),".")</f>
        <v>.</v>
      </c>
      <c r="F9" s="14" t="str">
        <f t="shared" si="0"/>
        <v>---</v>
      </c>
      <c r="H9">
        <v>8</v>
      </c>
      <c r="I9" t="s">
        <v>51</v>
      </c>
    </row>
    <row r="10" spans="1:9" x14ac:dyDescent="0.25">
      <c r="A10" s="35" t="s">
        <v>48</v>
      </c>
      <c r="B10" s="30"/>
      <c r="C10" s="30"/>
      <c r="D10" s="40" t="s">
        <v>124</v>
      </c>
      <c r="E10" s="41">
        <f>IF(D10="x",COUNTA($D$2:D10),".")</f>
        <v>5</v>
      </c>
      <c r="F10" s="14" t="str">
        <f t="shared" si="0"/>
        <v>mon ami a prepare le café</v>
      </c>
      <c r="H10">
        <v>9</v>
      </c>
      <c r="I10" t="s">
        <v>52</v>
      </c>
    </row>
    <row r="11" spans="1:9" x14ac:dyDescent="0.25">
      <c r="A11" s="35" t="s">
        <v>49</v>
      </c>
      <c r="B11" s="30"/>
      <c r="C11" s="30"/>
      <c r="D11" s="40" t="s">
        <v>124</v>
      </c>
      <c r="E11" s="41">
        <f>IF(D11="x",COUNTA($D$2:D11),".")</f>
        <v>6</v>
      </c>
      <c r="F11" s="14" t="str">
        <f t="shared" si="0"/>
        <v>mon ami a visite Hanoi</v>
      </c>
      <c r="H11">
        <v>10</v>
      </c>
      <c r="I11" t="s">
        <v>43</v>
      </c>
    </row>
    <row r="12" spans="1:9" x14ac:dyDescent="0.25">
      <c r="A12" s="35" t="s">
        <v>134</v>
      </c>
      <c r="B12" s="30"/>
      <c r="C12" s="30"/>
      <c r="D12" s="40"/>
      <c r="E12" s="41" t="str">
        <f>IF(D12="x",COUNTA($D$2:D12),".")</f>
        <v>.</v>
      </c>
      <c r="F12" s="14" t="str">
        <f t="shared" si="0"/>
        <v>---</v>
      </c>
      <c r="H12">
        <v>11</v>
      </c>
      <c r="I12" t="s">
        <v>57</v>
      </c>
    </row>
    <row r="13" spans="1:9" x14ac:dyDescent="0.25">
      <c r="A13" s="35" t="s">
        <v>136</v>
      </c>
      <c r="B13" s="30"/>
      <c r="C13" s="30"/>
      <c r="D13" s="40"/>
      <c r="E13" s="41" t="str">
        <f>IF(D13="x",COUNTA($D$2:D13),".")</f>
        <v>.</v>
      </c>
      <c r="F13" s="14" t="str">
        <f t="shared" si="0"/>
        <v>---</v>
      </c>
      <c r="H13">
        <v>12</v>
      </c>
      <c r="I13" t="s">
        <v>89</v>
      </c>
    </row>
    <row r="14" spans="1:9" x14ac:dyDescent="0.25">
      <c r="A14" s="35" t="s">
        <v>135</v>
      </c>
      <c r="B14" s="30"/>
      <c r="C14" s="30"/>
      <c r="D14" s="40"/>
      <c r="E14" s="41" t="str">
        <f>IF(D14="x",COUNTA($D$2:D14),".")</f>
        <v>.</v>
      </c>
      <c r="F14" s="14" t="str">
        <f t="shared" si="0"/>
        <v>---</v>
      </c>
      <c r="H14">
        <v>13</v>
      </c>
      <c r="I14" t="s">
        <v>56</v>
      </c>
    </row>
    <row r="15" spans="1:9" x14ac:dyDescent="0.25">
      <c r="A15" s="35" t="s">
        <v>50</v>
      </c>
      <c r="B15" s="30" t="s">
        <v>137</v>
      </c>
      <c r="C15" s="30"/>
      <c r="D15" s="40" t="s">
        <v>124</v>
      </c>
      <c r="E15" s="41">
        <f>IF(D15="x",COUNTA($D$2:D15),".")</f>
        <v>7</v>
      </c>
      <c r="F15" s="14" t="str">
        <f t="shared" si="0"/>
        <v>mon ami a visite Hanoi et mon chat a visite Taipei</v>
      </c>
      <c r="H15">
        <v>14</v>
      </c>
      <c r="I15" t="s">
        <v>0</v>
      </c>
    </row>
    <row r="16" spans="1:9" x14ac:dyDescent="0.25">
      <c r="A16" s="35" t="s">
        <v>45</v>
      </c>
      <c r="B16" s="30"/>
      <c r="C16" s="30"/>
      <c r="D16" s="40"/>
      <c r="E16" s="41" t="str">
        <f>IF(D16="x",COUNTA($D$2:D16),".")</f>
        <v>.</v>
      </c>
      <c r="F16" s="14" t="str">
        <f t="shared" si="0"/>
        <v>---</v>
      </c>
      <c r="H16">
        <v>15</v>
      </c>
      <c r="I16" t="s">
        <v>66</v>
      </c>
    </row>
    <row r="17" spans="1:9" x14ac:dyDescent="0.25">
      <c r="A17" s="35" t="s">
        <v>51</v>
      </c>
      <c r="B17" s="30" t="s">
        <v>63</v>
      </c>
      <c r="C17" s="30"/>
      <c r="D17" s="40" t="s">
        <v>124</v>
      </c>
      <c r="E17" s="41">
        <f>IF(D17="x",COUNTA($D$2:D17),".")</f>
        <v>8</v>
      </c>
      <c r="F17" s="14" t="str">
        <f t="shared" si="0"/>
        <v>mon ami a prepare le café et mon chat a prepare le the</v>
      </c>
      <c r="H17">
        <v>16</v>
      </c>
      <c r="I17" t="s">
        <v>68</v>
      </c>
    </row>
    <row r="18" spans="1:9" ht="15.75" thickBot="1" x14ac:dyDescent="0.3">
      <c r="A18" s="36" t="s">
        <v>52</v>
      </c>
      <c r="B18" s="31" t="s">
        <v>53</v>
      </c>
      <c r="C18" s="31"/>
      <c r="D18" s="42" t="s">
        <v>124</v>
      </c>
      <c r="E18" s="43">
        <f>IF(D18="x",COUNTA($D$2:D18),".")</f>
        <v>9</v>
      </c>
      <c r="F18" s="20" t="str">
        <f t="shared" si="0"/>
        <v>il a prepare le café</v>
      </c>
      <c r="H18">
        <v>17</v>
      </c>
      <c r="I18" t="s">
        <v>69</v>
      </c>
    </row>
    <row r="19" spans="1:9" x14ac:dyDescent="0.25">
      <c r="A19" s="34" t="s">
        <v>43</v>
      </c>
      <c r="B19" s="55" t="s">
        <v>54</v>
      </c>
      <c r="C19" s="55"/>
      <c r="D19" s="56" t="s">
        <v>124</v>
      </c>
      <c r="E19" s="57">
        <f>IF(D19="x",COUNTA($D$2:D19),".")</f>
        <v>10</v>
      </c>
      <c r="F19" s="46" t="str">
        <f t="shared" si="0"/>
        <v>preparation</v>
      </c>
      <c r="H19">
        <v>18</v>
      </c>
      <c r="I19" t="s">
        <v>73</v>
      </c>
    </row>
    <row r="20" spans="1:9" x14ac:dyDescent="0.25">
      <c r="A20" s="37" t="s">
        <v>55</v>
      </c>
      <c r="B20" s="30"/>
      <c r="C20" s="30"/>
      <c r="D20" s="40"/>
      <c r="E20" s="41" t="str">
        <f>IF(D20="x",COUNTA($D$2:D20),".")</f>
        <v>.</v>
      </c>
      <c r="F20" s="14" t="str">
        <f t="shared" si="0"/>
        <v>---</v>
      </c>
      <c r="H20">
        <v>19</v>
      </c>
      <c r="I20" t="s">
        <v>78</v>
      </c>
    </row>
    <row r="21" spans="1:9" x14ac:dyDescent="0.25">
      <c r="A21" s="35" t="s">
        <v>57</v>
      </c>
      <c r="B21" s="29" t="s">
        <v>58</v>
      </c>
      <c r="C21" s="29"/>
      <c r="D21" s="40" t="s">
        <v>124</v>
      </c>
      <c r="E21" s="41">
        <f>IF(D21="x",COUNTA($D$2:D21),".")</f>
        <v>11</v>
      </c>
      <c r="F21" s="14" t="str">
        <f t="shared" si="0"/>
        <v>Invitation</v>
      </c>
      <c r="H21">
        <v>20</v>
      </c>
      <c r="I21" t="s">
        <v>81</v>
      </c>
    </row>
    <row r="22" spans="1:9" x14ac:dyDescent="0.25">
      <c r="A22" s="35" t="s">
        <v>89</v>
      </c>
      <c r="B22" s="30"/>
      <c r="C22" s="30"/>
      <c r="D22" s="40" t="s">
        <v>124</v>
      </c>
      <c r="E22" s="41">
        <f>IF(D22="x",COUNTA($D$2:D22),".")</f>
        <v>12</v>
      </c>
      <c r="F22" s="14" t="str">
        <f t="shared" si="0"/>
        <v>reservation</v>
      </c>
    </row>
    <row r="23" spans="1:9" x14ac:dyDescent="0.25">
      <c r="A23" s="35" t="s">
        <v>56</v>
      </c>
      <c r="B23" s="30"/>
      <c r="C23" s="30"/>
      <c r="D23" s="40" t="s">
        <v>124</v>
      </c>
      <c r="E23" s="41">
        <f>IF(D23="x",COUNTA($D$2:D23),".")</f>
        <v>13</v>
      </c>
      <c r="F23" s="14" t="str">
        <f t="shared" si="0"/>
        <v>decoration</v>
      </c>
    </row>
    <row r="24" spans="1:9" x14ac:dyDescent="0.25">
      <c r="A24" s="35" t="s">
        <v>0</v>
      </c>
      <c r="B24" s="30"/>
      <c r="C24" s="30"/>
      <c r="D24" s="40" t="s">
        <v>124</v>
      </c>
      <c r="E24" s="41">
        <f>IF(D24="x",COUNTA($D$2:D24),".")</f>
        <v>14</v>
      </c>
      <c r="F24" s="14" t="str">
        <f t="shared" si="0"/>
        <v>confirmation</v>
      </c>
    </row>
    <row r="25" spans="1:9" x14ac:dyDescent="0.25">
      <c r="A25" s="35" t="s">
        <v>60</v>
      </c>
      <c r="B25" s="30" t="s">
        <v>59</v>
      </c>
      <c r="C25" s="30"/>
      <c r="D25" s="40"/>
      <c r="E25" s="41" t="str">
        <f>IF(D25="x",COUNTA($D$2:D25),".")</f>
        <v>.</v>
      </c>
      <c r="F25" s="14" t="str">
        <f t="shared" si="0"/>
        <v>---</v>
      </c>
    </row>
    <row r="26" spans="1:9" x14ac:dyDescent="0.25">
      <c r="A26" s="35" t="s">
        <v>65</v>
      </c>
      <c r="B26" s="30" t="s">
        <v>61</v>
      </c>
      <c r="C26" s="30"/>
      <c r="D26" s="40"/>
      <c r="E26" s="41" t="str">
        <f>IF(D26="x",COUNTA($D$2:D26),".")</f>
        <v>.</v>
      </c>
      <c r="F26" s="14" t="str">
        <f t="shared" si="0"/>
        <v>---</v>
      </c>
    </row>
    <row r="27" spans="1:9" x14ac:dyDescent="0.25">
      <c r="A27" s="35" t="s">
        <v>66</v>
      </c>
      <c r="B27" s="30"/>
      <c r="C27" s="30"/>
      <c r="D27" s="40" t="s">
        <v>124</v>
      </c>
      <c r="E27" s="41">
        <f>IF(D27="x",COUNTA($D$2:D27),".")</f>
        <v>15</v>
      </c>
      <c r="F27" s="14" t="str">
        <f t="shared" si="0"/>
        <v>j'ai reservé un table pour le diner</v>
      </c>
    </row>
    <row r="28" spans="1:9" x14ac:dyDescent="0.25">
      <c r="A28" s="35" t="s">
        <v>68</v>
      </c>
      <c r="B28" s="30"/>
      <c r="C28" s="30"/>
      <c r="D28" s="40" t="s">
        <v>124</v>
      </c>
      <c r="E28" s="41">
        <f>IF(D28="x",COUNTA($D$2:D28),".")</f>
        <v>16</v>
      </c>
      <c r="F28" s="14" t="str">
        <f t="shared" si="0"/>
        <v>j'ai invite un ami au restaurant</v>
      </c>
    </row>
    <row r="29" spans="1:9" x14ac:dyDescent="0.25">
      <c r="A29" s="35" t="s">
        <v>41</v>
      </c>
      <c r="B29" s="30"/>
      <c r="C29" s="30" t="s">
        <v>133</v>
      </c>
      <c r="D29" s="40"/>
      <c r="E29" s="41" t="str">
        <f>IF(D29="x",COUNTA($D$2:D29),".")</f>
        <v>.</v>
      </c>
      <c r="F29" s="14" t="str">
        <f t="shared" si="0"/>
        <v>---</v>
      </c>
    </row>
    <row r="30" spans="1:9" x14ac:dyDescent="0.25">
      <c r="A30" s="35" t="s">
        <v>42</v>
      </c>
      <c r="B30" s="30"/>
      <c r="C30" s="30"/>
      <c r="D30" s="40"/>
      <c r="E30" s="41" t="str">
        <f>IF(D30="x",COUNTA($D$2:D30),".")</f>
        <v>.</v>
      </c>
      <c r="F30" s="14" t="str">
        <f t="shared" si="0"/>
        <v>---</v>
      </c>
    </row>
    <row r="31" spans="1:9" ht="15.75" thickBot="1" x14ac:dyDescent="0.3">
      <c r="A31" s="35" t="s">
        <v>69</v>
      </c>
      <c r="B31" s="30"/>
      <c r="C31" s="30"/>
      <c r="D31" s="40" t="s">
        <v>124</v>
      </c>
      <c r="E31" s="41">
        <f>IF(D31="x",COUNTA($D$2:D31),".")</f>
        <v>17</v>
      </c>
      <c r="F31" s="14" t="str">
        <f t="shared" si="0"/>
        <v>tu as invite ton ami au restaurant?</v>
      </c>
    </row>
    <row r="32" spans="1:9" x14ac:dyDescent="0.25">
      <c r="A32" s="34" t="s">
        <v>23</v>
      </c>
      <c r="B32" s="73" t="s">
        <v>83</v>
      </c>
      <c r="C32" s="64"/>
      <c r="D32" s="57"/>
      <c r="E32" s="57" t="str">
        <f>IF(D32="x",COUNTA($D$2:D32),".")</f>
        <v>.</v>
      </c>
      <c r="F32" s="46" t="str">
        <f t="shared" si="0"/>
        <v>---</v>
      </c>
    </row>
    <row r="33" spans="1:6" x14ac:dyDescent="0.25">
      <c r="A33" s="35" t="s">
        <v>71</v>
      </c>
      <c r="B33" s="68"/>
      <c r="C33" s="63"/>
      <c r="D33" s="41"/>
      <c r="E33" s="41" t="str">
        <f>IF(D33="x",COUNTA($D$2:D33),".")</f>
        <v>.</v>
      </c>
      <c r="F33" s="14" t="str">
        <f t="shared" si="0"/>
        <v>---</v>
      </c>
    </row>
    <row r="34" spans="1:6" x14ac:dyDescent="0.25">
      <c r="A34" s="35" t="s">
        <v>72</v>
      </c>
      <c r="B34" s="68"/>
      <c r="C34" s="63"/>
      <c r="D34" s="41"/>
      <c r="E34" s="41" t="str">
        <f>IF(D34="x",COUNTA($D$2:D34),".")</f>
        <v>.</v>
      </c>
      <c r="F34" s="14" t="str">
        <f t="shared" si="0"/>
        <v>---</v>
      </c>
    </row>
    <row r="35" spans="1:6" x14ac:dyDescent="0.25">
      <c r="A35" s="35" t="s">
        <v>73</v>
      </c>
      <c r="B35" s="68" t="s">
        <v>74</v>
      </c>
      <c r="C35" s="63"/>
      <c r="D35" s="41" t="s">
        <v>124</v>
      </c>
      <c r="E35" s="41">
        <f>IF(D35="x",COUNTA($D$2:D35),".")</f>
        <v>18</v>
      </c>
      <c r="F35" s="14" t="str">
        <f t="shared" si="0"/>
        <v>je voudrais preparer le diner</v>
      </c>
    </row>
    <row r="36" spans="1:6" x14ac:dyDescent="0.25">
      <c r="A36" s="35" t="s">
        <v>76</v>
      </c>
      <c r="B36" s="68" t="s">
        <v>75</v>
      </c>
      <c r="C36" s="63"/>
      <c r="D36" s="41"/>
      <c r="E36" s="41" t="str">
        <f>IF(D36="x",COUNTA($D$2:D36),".")</f>
        <v>.</v>
      </c>
      <c r="F36" s="14" t="str">
        <f t="shared" si="0"/>
        <v>---</v>
      </c>
    </row>
    <row r="37" spans="1:6" x14ac:dyDescent="0.25">
      <c r="A37" s="35" t="s">
        <v>77</v>
      </c>
      <c r="B37" s="68"/>
      <c r="C37" s="63"/>
      <c r="D37" s="41"/>
      <c r="E37" s="41" t="str">
        <f>IF(D37="x",COUNTA($D$2:D37),".")</f>
        <v>.</v>
      </c>
      <c r="F37" s="14" t="str">
        <f t="shared" ref="F37:F43" si="1">IF(D37="x",A37,"---")</f>
        <v>---</v>
      </c>
    </row>
    <row r="38" spans="1:6" x14ac:dyDescent="0.25">
      <c r="A38" s="35" t="s">
        <v>78</v>
      </c>
      <c r="B38" s="68"/>
      <c r="C38" s="63"/>
      <c r="D38" s="41" t="s">
        <v>124</v>
      </c>
      <c r="E38" s="41">
        <f>IF(D38="x",COUNTA($D$2:D38),".")</f>
        <v>19</v>
      </c>
      <c r="F38" s="14" t="str">
        <f t="shared" si="1"/>
        <v>je voudrais preparer le diner + parce que j'ai faim</v>
      </c>
    </row>
    <row r="39" spans="1:6" x14ac:dyDescent="0.25">
      <c r="A39" s="35" t="s">
        <v>79</v>
      </c>
      <c r="B39" s="68"/>
      <c r="C39" s="63"/>
      <c r="D39" s="41"/>
      <c r="E39" s="41" t="str">
        <f>IF(D39="x",COUNTA($D$2:D39),".")</f>
        <v>.</v>
      </c>
      <c r="F39" s="14" t="str">
        <f t="shared" si="1"/>
        <v>---</v>
      </c>
    </row>
    <row r="40" spans="1:6" x14ac:dyDescent="0.25">
      <c r="A40" s="35" t="s">
        <v>80</v>
      </c>
      <c r="B40" s="68"/>
      <c r="C40" s="63"/>
      <c r="D40" s="41"/>
      <c r="E40" s="41" t="str">
        <f>IF(D40="x",COUNTA($D$2:D40),".")</f>
        <v>.</v>
      </c>
      <c r="F40" s="14" t="str">
        <f t="shared" si="1"/>
        <v>---</v>
      </c>
    </row>
    <row r="41" spans="1:6" x14ac:dyDescent="0.25">
      <c r="A41" s="35" t="s">
        <v>82</v>
      </c>
      <c r="B41" s="68"/>
      <c r="C41" s="63"/>
      <c r="D41" s="41"/>
      <c r="E41" s="41" t="str">
        <f>IF(D41="x",COUNTA($D$2:D41),".")</f>
        <v>.</v>
      </c>
      <c r="F41" s="14" t="str">
        <f t="shared" si="1"/>
        <v>---</v>
      </c>
    </row>
    <row r="42" spans="1:6" x14ac:dyDescent="0.25">
      <c r="A42" s="35" t="s">
        <v>81</v>
      </c>
      <c r="B42" s="68" t="s">
        <v>70</v>
      </c>
      <c r="C42" s="63"/>
      <c r="D42" s="41" t="s">
        <v>124</v>
      </c>
      <c r="E42" s="41">
        <f>IF(D42="x",COUNTA($D$2:D42),".")</f>
        <v>20</v>
      </c>
      <c r="F42" s="14" t="str">
        <f t="shared" si="1"/>
        <v>je voudrais preparer le café parce que j'ai soif</v>
      </c>
    </row>
    <row r="43" spans="1:6" ht="15.75" thickBot="1" x14ac:dyDescent="0.3">
      <c r="A43" s="36" t="s">
        <v>84</v>
      </c>
      <c r="B43" s="69" t="s">
        <v>85</v>
      </c>
      <c r="C43" s="66"/>
      <c r="D43" s="43"/>
      <c r="E43" s="43" t="str">
        <f>IF(D43="x",COUNTA($D$2:D43),".")</f>
        <v>.</v>
      </c>
      <c r="F43" s="20" t="str">
        <f t="shared" si="1"/>
        <v>---</v>
      </c>
    </row>
    <row r="44" spans="1:6" x14ac:dyDescent="0.25">
      <c r="D44"/>
      <c r="E44"/>
    </row>
    <row r="45" spans="1:6" x14ac:dyDescent="0.25">
      <c r="D45"/>
      <c r="E45"/>
    </row>
    <row r="46" spans="1:6" x14ac:dyDescent="0.25">
      <c r="D46"/>
      <c r="E46"/>
    </row>
    <row r="47" spans="1:6" x14ac:dyDescent="0.25">
      <c r="D47"/>
      <c r="E47"/>
    </row>
    <row r="48" spans="1:6" x14ac:dyDescent="0.25">
      <c r="D48"/>
      <c r="E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row r="55" spans="4:5" x14ac:dyDescent="0.25">
      <c r="D55"/>
      <c r="E55"/>
    </row>
    <row r="56" spans="4:5" x14ac:dyDescent="0.25">
      <c r="D56"/>
      <c r="E56"/>
    </row>
    <row r="57" spans="4:5" x14ac:dyDescent="0.25">
      <c r="D57"/>
      <c r="E57"/>
    </row>
    <row r="58" spans="4:5" x14ac:dyDescent="0.25">
      <c r="D58"/>
      <c r="E58"/>
    </row>
    <row r="59" spans="4:5" x14ac:dyDescent="0.25">
      <c r="D59"/>
      <c r="E59"/>
    </row>
    <row r="60" spans="4:5" x14ac:dyDescent="0.25">
      <c r="D60"/>
      <c r="E60"/>
    </row>
    <row r="61" spans="4:5" x14ac:dyDescent="0.25">
      <c r="D61"/>
      <c r="E61"/>
    </row>
    <row r="62" spans="4:5" x14ac:dyDescent="0.25">
      <c r="D62"/>
      <c r="E62"/>
    </row>
    <row r="63" spans="4:5" x14ac:dyDescent="0.25">
      <c r="D63"/>
      <c r="E63"/>
    </row>
    <row r="64" spans="4:5" x14ac:dyDescent="0.25">
      <c r="D64"/>
      <c r="E64"/>
    </row>
    <row r="65" spans="4:5" x14ac:dyDescent="0.25">
      <c r="D65"/>
      <c r="E65"/>
    </row>
    <row r="66" spans="4:5" x14ac:dyDescent="0.25">
      <c r="D66"/>
      <c r="E66"/>
    </row>
    <row r="67" spans="4:5" x14ac:dyDescent="0.25">
      <c r="D67"/>
      <c r="E67"/>
    </row>
    <row r="68" spans="4:5" x14ac:dyDescent="0.25">
      <c r="D68"/>
      <c r="E68"/>
    </row>
    <row r="69" spans="4:5" x14ac:dyDescent="0.25">
      <c r="D69"/>
      <c r="E69"/>
    </row>
    <row r="70" spans="4:5" x14ac:dyDescent="0.25">
      <c r="D70"/>
      <c r="E70"/>
    </row>
    <row r="71" spans="4:5" x14ac:dyDescent="0.25">
      <c r="D71"/>
      <c r="E71"/>
    </row>
    <row r="72" spans="4:5" x14ac:dyDescent="0.25">
      <c r="D72"/>
      <c r="E72"/>
    </row>
    <row r="73" spans="4:5" x14ac:dyDescent="0.25">
      <c r="D73"/>
      <c r="E73"/>
    </row>
    <row r="74" spans="4:5" x14ac:dyDescent="0.25">
      <c r="D74"/>
      <c r="E74"/>
    </row>
    <row r="75" spans="4:5" x14ac:dyDescent="0.25">
      <c r="E7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2B54-FFF8-4193-889E-45A62F2DCFD1}">
  <dimension ref="A1:J38"/>
  <sheetViews>
    <sheetView workbookViewId="0">
      <selection activeCell="G2" sqref="G2"/>
    </sheetView>
  </sheetViews>
  <sheetFormatPr defaultRowHeight="15" x14ac:dyDescent="0.25"/>
  <cols>
    <col min="1" max="1" width="9.140625" style="6"/>
    <col min="2" max="2" width="91" customWidth="1"/>
    <col min="3" max="3" width="67.42578125" bestFit="1" customWidth="1"/>
    <col min="4" max="4" width="12.140625" customWidth="1"/>
    <col min="5" max="5" width="9.140625" style="6"/>
    <col min="6" max="6" width="11.140625" style="6" bestFit="1" customWidth="1"/>
    <col min="7" max="7" width="50.5703125" bestFit="1" customWidth="1"/>
    <col min="8" max="8" width="2.42578125" customWidth="1"/>
    <col min="9" max="9" width="3.28515625" customWidth="1"/>
    <col min="10" max="10" width="50.5703125" bestFit="1" customWidth="1"/>
  </cols>
  <sheetData>
    <row r="1" spans="1:10" ht="15.75" thickBot="1" x14ac:dyDescent="0.3">
      <c r="A1" s="25" t="s">
        <v>165</v>
      </c>
      <c r="B1" s="33" t="s">
        <v>121</v>
      </c>
      <c r="C1" s="23" t="s">
        <v>1</v>
      </c>
      <c r="D1" s="23" t="s">
        <v>130</v>
      </c>
      <c r="E1" s="23" t="s">
        <v>122</v>
      </c>
      <c r="F1" s="23" t="s">
        <v>123</v>
      </c>
      <c r="G1" s="67"/>
      <c r="J1" s="58"/>
    </row>
    <row r="2" spans="1:10" x14ac:dyDescent="0.25">
      <c r="A2" s="74" t="s">
        <v>173</v>
      </c>
      <c r="B2" s="45" t="s">
        <v>275</v>
      </c>
      <c r="C2" s="71"/>
      <c r="D2" s="64"/>
      <c r="E2" s="57"/>
      <c r="F2" s="79" t="str">
        <f>IF(E2="x",COUNTA($E$2:E2),".")</f>
        <v>.</v>
      </c>
      <c r="G2" s="46" t="str">
        <f t="shared" ref="G2:G25" si="0">IF(E2="x",B2,"---")</f>
        <v>---</v>
      </c>
    </row>
    <row r="3" spans="1:10" x14ac:dyDescent="0.25">
      <c r="A3" s="75" t="s">
        <v>167</v>
      </c>
      <c r="B3" s="11" t="s">
        <v>276</v>
      </c>
      <c r="C3" s="70"/>
      <c r="D3" s="63"/>
      <c r="E3" s="41" t="s">
        <v>124</v>
      </c>
      <c r="F3" s="77">
        <f>IF(E3="x",COUNTA($E$2:E3),".")</f>
        <v>1</v>
      </c>
      <c r="G3" s="14" t="str">
        <f t="shared" si="0"/>
        <v>Je voudrais réserver pour ce soir</v>
      </c>
    </row>
    <row r="4" spans="1:10" x14ac:dyDescent="0.25">
      <c r="A4" s="75" t="s">
        <v>167</v>
      </c>
      <c r="B4" s="11" t="s">
        <v>168</v>
      </c>
      <c r="C4" s="70" t="s">
        <v>87</v>
      </c>
      <c r="D4" s="63"/>
      <c r="E4" s="41"/>
      <c r="F4" s="77" t="str">
        <f>IF(E4="x",COUNTA($E$2:E4),".")</f>
        <v>.</v>
      </c>
      <c r="G4" s="14" t="str">
        <f t="shared" si="0"/>
        <v>---</v>
      </c>
    </row>
    <row r="5" spans="1:10" x14ac:dyDescent="0.25">
      <c r="A5" s="75" t="s">
        <v>166</v>
      </c>
      <c r="B5" s="11" t="s">
        <v>169</v>
      </c>
      <c r="C5" s="70"/>
      <c r="D5" s="63"/>
      <c r="E5" s="41"/>
      <c r="F5" s="77" t="str">
        <f>IF(E5="x",COUNTA($E$2:E5),".")</f>
        <v>.</v>
      </c>
      <c r="G5" s="14" t="str">
        <f t="shared" si="0"/>
        <v>---</v>
      </c>
    </row>
    <row r="6" spans="1:10" x14ac:dyDescent="0.25">
      <c r="A6" s="75" t="s">
        <v>167</v>
      </c>
      <c r="B6" s="11" t="s">
        <v>170</v>
      </c>
      <c r="C6" s="70"/>
      <c r="D6" s="63"/>
      <c r="E6" s="41"/>
      <c r="F6" s="77" t="str">
        <f>IF(E6="x",COUNTA($E$2:E6),".")</f>
        <v>.</v>
      </c>
      <c r="G6" s="14" t="str">
        <f t="shared" si="0"/>
        <v>---</v>
      </c>
    </row>
    <row r="7" spans="1:10" x14ac:dyDescent="0.25">
      <c r="A7" s="75" t="s">
        <v>171</v>
      </c>
      <c r="B7" s="11" t="s">
        <v>178</v>
      </c>
      <c r="C7" s="70"/>
      <c r="D7" s="63"/>
      <c r="E7" s="41"/>
      <c r="F7" s="77" t="str">
        <f>IF(E7="x",COUNTA($E$2:E7),".")</f>
        <v>.</v>
      </c>
      <c r="G7" s="14" t="str">
        <f t="shared" si="0"/>
        <v>---</v>
      </c>
    </row>
    <row r="8" spans="1:10" x14ac:dyDescent="0.25">
      <c r="A8" s="75"/>
      <c r="B8" s="11" t="s">
        <v>179</v>
      </c>
      <c r="C8" s="70"/>
      <c r="D8" s="63"/>
      <c r="E8" s="41" t="s">
        <v>124</v>
      </c>
      <c r="F8" s="77">
        <f>IF(E8="x",COUNTA($E$2:E8),".")</f>
        <v>2</v>
      </c>
      <c r="G8" s="14" t="str">
        <f t="shared" si="0"/>
        <v>J'ai réservé une table pour ce soir pour deux personnes</v>
      </c>
    </row>
    <row r="9" spans="1:10" x14ac:dyDescent="0.25">
      <c r="A9" s="75" t="s">
        <v>173</v>
      </c>
      <c r="B9" s="11" t="s">
        <v>193</v>
      </c>
      <c r="C9" s="70" t="s">
        <v>180</v>
      </c>
      <c r="D9" s="63"/>
      <c r="E9" s="41"/>
      <c r="F9" s="77" t="str">
        <f>IF(E9="x",COUNTA($E$2:E9),".")</f>
        <v>.</v>
      </c>
      <c r="G9" s="14" t="str">
        <f t="shared" si="0"/>
        <v>---</v>
      </c>
    </row>
    <row r="10" spans="1:10" x14ac:dyDescent="0.25">
      <c r="A10" s="75" t="s">
        <v>173</v>
      </c>
      <c r="B10" s="11" t="s">
        <v>192</v>
      </c>
      <c r="C10" s="70"/>
      <c r="D10" s="63"/>
      <c r="E10" s="41"/>
      <c r="F10" s="77" t="str">
        <f>IF(E10="x",COUNTA($E$2:E10),".")</f>
        <v>.</v>
      </c>
      <c r="G10" s="14" t="str">
        <f t="shared" si="0"/>
        <v>---</v>
      </c>
    </row>
    <row r="11" spans="1:10" x14ac:dyDescent="0.25">
      <c r="A11" s="75" t="s">
        <v>204</v>
      </c>
      <c r="B11" s="11" t="s">
        <v>277</v>
      </c>
      <c r="C11" s="70"/>
      <c r="D11" s="63"/>
      <c r="E11" s="41" t="s">
        <v>124</v>
      </c>
      <c r="F11" s="77">
        <f>IF(E11="x",COUNTA($E$2:E11),".")</f>
        <v>3</v>
      </c>
      <c r="G11" s="14" t="str">
        <f t="shared" si="0"/>
        <v>Voulez-vous reserver une table pour ce soir?</v>
      </c>
    </row>
    <row r="12" spans="1:10" ht="15.75" thickBot="1" x14ac:dyDescent="0.3">
      <c r="A12" s="76" t="s">
        <v>204</v>
      </c>
      <c r="B12" s="19" t="s">
        <v>191</v>
      </c>
      <c r="C12" s="90" t="s">
        <v>278</v>
      </c>
      <c r="D12" s="66"/>
      <c r="E12" s="43" t="s">
        <v>124</v>
      </c>
      <c r="F12" s="78">
        <f>IF(E12="x",COUNTA($E$2:E12),".")</f>
        <v>4</v>
      </c>
      <c r="G12" s="20" t="str">
        <f t="shared" si="0"/>
        <v>Voulez-vous visiter Hanoi?</v>
      </c>
      <c r="J12" t="s">
        <v>176</v>
      </c>
    </row>
    <row r="13" spans="1:10" x14ac:dyDescent="0.25">
      <c r="A13" s="74" t="s">
        <v>173</v>
      </c>
      <c r="B13" s="45" t="s">
        <v>172</v>
      </c>
      <c r="C13" s="73" t="s">
        <v>86</v>
      </c>
      <c r="D13" s="71"/>
      <c r="E13" s="65"/>
      <c r="F13" s="79" t="str">
        <f>IF(E13="x",COUNTA($E$2:E13),".")</f>
        <v>.</v>
      </c>
      <c r="G13" s="46" t="str">
        <f t="shared" si="0"/>
        <v>---</v>
      </c>
    </row>
    <row r="14" spans="1:10" x14ac:dyDescent="0.25">
      <c r="A14" s="75" t="s">
        <v>173</v>
      </c>
      <c r="B14" s="11" t="s">
        <v>183</v>
      </c>
      <c r="C14" s="68" t="s">
        <v>203</v>
      </c>
      <c r="D14" s="70"/>
      <c r="E14" s="62" t="s">
        <v>124</v>
      </c>
      <c r="F14" s="77">
        <f>IF(E14="x",COUNTA($E$2:E14),".")</f>
        <v>5</v>
      </c>
      <c r="G14" s="14" t="str">
        <f t="shared" si="0"/>
        <v>Typique</v>
      </c>
      <c r="J14" t="s">
        <v>177</v>
      </c>
    </row>
    <row r="15" spans="1:10" x14ac:dyDescent="0.25">
      <c r="A15" s="75" t="s">
        <v>173</v>
      </c>
      <c r="B15" s="11" t="s">
        <v>184</v>
      </c>
      <c r="C15" s="68"/>
      <c r="D15" s="70"/>
      <c r="E15" s="62" t="s">
        <v>124</v>
      </c>
      <c r="F15" s="77">
        <f>IF(E15="x",COUNTA($E$2:E15),".")</f>
        <v>6</v>
      </c>
      <c r="G15" s="14" t="str">
        <f t="shared" si="0"/>
        <v>Exotic</v>
      </c>
    </row>
    <row r="16" spans="1:10" x14ac:dyDescent="0.25">
      <c r="A16" s="75"/>
      <c r="B16" s="11" t="s">
        <v>185</v>
      </c>
      <c r="C16" s="68"/>
      <c r="D16" s="70"/>
      <c r="E16" s="62" t="s">
        <v>124</v>
      </c>
      <c r="F16" s="77">
        <f>IF(E16="x",COUNTA($E$2:E16),".")</f>
        <v>7</v>
      </c>
      <c r="G16" s="14" t="str">
        <f t="shared" si="0"/>
        <v>Politique</v>
      </c>
    </row>
    <row r="17" spans="1:7" x14ac:dyDescent="0.25">
      <c r="A17" s="75"/>
      <c r="B17" s="11" t="s">
        <v>174</v>
      </c>
      <c r="C17" s="68"/>
      <c r="D17" s="70"/>
      <c r="E17" s="62" t="s">
        <v>124</v>
      </c>
      <c r="F17" s="77">
        <f>IF(E17="x",COUNTA($E$2:E17),".")</f>
        <v>8</v>
      </c>
      <c r="G17" s="14" t="str">
        <f t="shared" si="0"/>
        <v>Romantic</v>
      </c>
    </row>
    <row r="18" spans="1:7" x14ac:dyDescent="0.25">
      <c r="A18" s="75"/>
      <c r="B18" s="11" t="s">
        <v>175</v>
      </c>
      <c r="C18" s="68"/>
      <c r="D18" s="70"/>
      <c r="E18" s="62" t="s">
        <v>124</v>
      </c>
      <c r="F18" s="77">
        <f>IF(E18="x",COUNTA($E$2:E18),".")</f>
        <v>9</v>
      </c>
      <c r="G18" s="14" t="str">
        <f t="shared" si="0"/>
        <v>Pratique</v>
      </c>
    </row>
    <row r="19" spans="1:7" x14ac:dyDescent="0.25">
      <c r="A19" s="75" t="s">
        <v>166</v>
      </c>
      <c r="B19" s="80" t="s">
        <v>181</v>
      </c>
      <c r="C19" s="68"/>
      <c r="D19" s="70"/>
      <c r="E19" s="62" t="s">
        <v>124</v>
      </c>
      <c r="F19" s="77">
        <f>IF(E19="x",COUNTA($E$2:E19),".")</f>
        <v>10</v>
      </c>
      <c r="G19" s="14" t="str">
        <f t="shared" si="0"/>
        <v>Parce que</v>
      </c>
    </row>
    <row r="20" spans="1:7" x14ac:dyDescent="0.25">
      <c r="A20" s="75" t="s">
        <v>182</v>
      </c>
      <c r="B20" s="80" t="s">
        <v>186</v>
      </c>
      <c r="C20" s="68"/>
      <c r="D20" s="70"/>
      <c r="E20" s="62" t="s">
        <v>124</v>
      </c>
      <c r="F20" s="77">
        <f>IF(E20="x",COUNTA($E$2:E20),".")</f>
        <v>11</v>
      </c>
      <c r="G20" s="14" t="str">
        <f t="shared" si="0"/>
        <v>Je voudrais visiter Paris parce que c'est exotique</v>
      </c>
    </row>
    <row r="21" spans="1:7" x14ac:dyDescent="0.25">
      <c r="A21" s="75" t="s">
        <v>182</v>
      </c>
      <c r="B21" s="11" t="s">
        <v>194</v>
      </c>
      <c r="C21" s="81" t="s">
        <v>190</v>
      </c>
      <c r="D21" s="70"/>
      <c r="E21" s="62" t="s">
        <v>124</v>
      </c>
      <c r="F21" s="77">
        <f>IF(E21="x",COUNTA($E$2:E21),".")</f>
        <v>12</v>
      </c>
      <c r="G21" s="14" t="str">
        <f t="shared" si="0"/>
        <v>Est-ce que tu as preparé le café pour moi?</v>
      </c>
    </row>
    <row r="22" spans="1:7" x14ac:dyDescent="0.25">
      <c r="A22" s="75" t="s">
        <v>182</v>
      </c>
      <c r="B22" s="11" t="s">
        <v>195</v>
      </c>
      <c r="C22" s="68" t="s">
        <v>196</v>
      </c>
      <c r="D22" s="70"/>
      <c r="E22" s="62" t="s">
        <v>124</v>
      </c>
      <c r="F22" s="77">
        <f>IF(E22="x",COUNTA($E$2:E22),".")</f>
        <v>13</v>
      </c>
      <c r="G22" s="91" t="str">
        <f t="shared" si="0"/>
        <v>Est-ce que tu as confirmé le meeting avec Jean?</v>
      </c>
    </row>
    <row r="23" spans="1:7" x14ac:dyDescent="0.25">
      <c r="A23" s="75" t="s">
        <v>182</v>
      </c>
      <c r="B23" s="11" t="s">
        <v>189</v>
      </c>
      <c r="C23" s="68"/>
      <c r="D23" s="70"/>
      <c r="E23" s="62" t="s">
        <v>124</v>
      </c>
      <c r="F23" s="77">
        <f>IF(E23="x",COUNTA($E$2:E23),".")</f>
        <v>14</v>
      </c>
      <c r="G23" s="14" t="str">
        <f t="shared" si="0"/>
        <v>Est-ce que c'est pratique?</v>
      </c>
    </row>
    <row r="24" spans="1:7" x14ac:dyDescent="0.25">
      <c r="A24" s="75" t="s">
        <v>173</v>
      </c>
      <c r="B24" s="11" t="s">
        <v>187</v>
      </c>
      <c r="C24" s="68"/>
      <c r="D24" s="70"/>
      <c r="E24" s="62"/>
      <c r="F24" s="77" t="str">
        <f>IF(E24="x",COUNTA($E$2:E24),".")</f>
        <v>.</v>
      </c>
      <c r="G24" s="14" t="str">
        <f t="shared" si="0"/>
        <v>---</v>
      </c>
    </row>
    <row r="25" spans="1:7" x14ac:dyDescent="0.25">
      <c r="A25" s="75" t="s">
        <v>204</v>
      </c>
      <c r="B25" s="11" t="s">
        <v>197</v>
      </c>
      <c r="C25" s="68" t="s">
        <v>279</v>
      </c>
      <c r="D25" s="70"/>
      <c r="E25" s="62" t="s">
        <v>124</v>
      </c>
      <c r="F25" s="77">
        <f>IF(E25="x",COUNTA($E$2:E25),".")</f>
        <v>15</v>
      </c>
      <c r="G25" s="14" t="str">
        <f t="shared" si="0"/>
        <v>Je voudrais aller a Paris</v>
      </c>
    </row>
    <row r="26" spans="1:7" x14ac:dyDescent="0.25">
      <c r="A26" s="75" t="s">
        <v>204</v>
      </c>
      <c r="B26" s="11" t="s">
        <v>188</v>
      </c>
      <c r="C26" s="68"/>
      <c r="D26" s="70"/>
      <c r="E26" s="62"/>
      <c r="F26" s="77" t="str">
        <f>IF(E26="x",COUNTA($E$2:E26),".")</f>
        <v>.</v>
      </c>
      <c r="G26" s="14" t="str">
        <f>IF(E26="x",B26,"---")</f>
        <v>---</v>
      </c>
    </row>
    <row r="27" spans="1:7" x14ac:dyDescent="0.25">
      <c r="A27" s="75" t="s">
        <v>204</v>
      </c>
      <c r="B27" s="11" t="s">
        <v>282</v>
      </c>
      <c r="C27" s="68"/>
      <c r="D27" s="70"/>
      <c r="E27" s="62" t="s">
        <v>124</v>
      </c>
      <c r="F27" s="77">
        <f>IF(E27="x",COUNTA($E$2:E27),".")</f>
        <v>16</v>
      </c>
      <c r="G27" s="14" t="str">
        <f t="shared" ref="G27:G38" si="1">IF(E27="x",B27,"---")</f>
        <v>Je voudrais aller au café, est-ce qu'il est typique?</v>
      </c>
    </row>
    <row r="28" spans="1:7" x14ac:dyDescent="0.25">
      <c r="A28" s="75" t="s">
        <v>173</v>
      </c>
      <c r="B28" s="11" t="s">
        <v>198</v>
      </c>
      <c r="C28" s="68"/>
      <c r="D28" s="70"/>
      <c r="E28" s="62" t="s">
        <v>124</v>
      </c>
      <c r="F28" s="77">
        <f>IF(E28="x",COUNTA($E$2:E28),".")</f>
        <v>17</v>
      </c>
      <c r="G28" s="14" t="str">
        <f t="shared" si="1"/>
        <v>Savoir</v>
      </c>
    </row>
    <row r="29" spans="1:7" x14ac:dyDescent="0.25">
      <c r="A29" s="75" t="s">
        <v>204</v>
      </c>
      <c r="B29" s="11" t="s">
        <v>199</v>
      </c>
      <c r="C29" s="68"/>
      <c r="D29" s="70"/>
      <c r="E29" s="62"/>
      <c r="F29" s="77" t="str">
        <f>IF(E29="x",COUNTA($E$2:E29),".")</f>
        <v>.</v>
      </c>
      <c r="G29" s="14" t="str">
        <f t="shared" si="1"/>
        <v>---</v>
      </c>
    </row>
    <row r="30" spans="1:7" x14ac:dyDescent="0.25">
      <c r="A30" s="75" t="s">
        <v>173</v>
      </c>
      <c r="B30" s="11" t="s">
        <v>200</v>
      </c>
      <c r="C30" s="68" t="s">
        <v>88</v>
      </c>
      <c r="D30" s="70"/>
      <c r="E30" s="62"/>
      <c r="F30" s="77" t="str">
        <f>IF(E30="x",COUNTA($E$2:E30),".")</f>
        <v>.</v>
      </c>
      <c r="G30" s="14" t="str">
        <f t="shared" si="1"/>
        <v>---</v>
      </c>
    </row>
    <row r="31" spans="1:7" x14ac:dyDescent="0.25">
      <c r="A31" s="75" t="s">
        <v>204</v>
      </c>
      <c r="B31" s="11" t="s">
        <v>205</v>
      </c>
      <c r="C31" s="68"/>
      <c r="D31" s="70"/>
      <c r="E31" s="62"/>
      <c r="F31" s="77" t="str">
        <f>IF(E31="x",COUNTA($E$2:E31),".")</f>
        <v>.</v>
      </c>
      <c r="G31" s="14" t="str">
        <f t="shared" si="1"/>
        <v>---</v>
      </c>
    </row>
    <row r="32" spans="1:7" x14ac:dyDescent="0.25">
      <c r="A32" s="75" t="s">
        <v>204</v>
      </c>
      <c r="B32" s="11" t="s">
        <v>201</v>
      </c>
      <c r="C32" s="68"/>
      <c r="D32" s="70"/>
      <c r="E32" s="62" t="s">
        <v>124</v>
      </c>
      <c r="F32" s="77">
        <f>IF(E32="x",COUNTA($E$2:E32),".")</f>
        <v>18</v>
      </c>
      <c r="G32" s="14" t="str">
        <f t="shared" si="1"/>
        <v>Je voudrais savoir si c'est pratique</v>
      </c>
    </row>
    <row r="33" spans="1:7" x14ac:dyDescent="0.25">
      <c r="A33" s="75" t="s">
        <v>173</v>
      </c>
      <c r="B33" s="38" t="s">
        <v>202</v>
      </c>
      <c r="C33" s="70"/>
      <c r="D33" s="70"/>
      <c r="E33" s="41"/>
      <c r="F33" s="77" t="str">
        <f>IF(E33="x",COUNTA($E$2:E33),".")</f>
        <v>.</v>
      </c>
      <c r="G33" s="14" t="str">
        <f t="shared" si="1"/>
        <v>---</v>
      </c>
    </row>
    <row r="34" spans="1:7" x14ac:dyDescent="0.25">
      <c r="A34" s="75" t="s">
        <v>204</v>
      </c>
      <c r="B34" s="87" t="s">
        <v>280</v>
      </c>
      <c r="C34" s="70"/>
      <c r="D34" s="70"/>
      <c r="E34" s="41"/>
      <c r="F34" s="77" t="str">
        <f>IF(E34="x",COUNTA($E$2:E34),".")</f>
        <v>.</v>
      </c>
      <c r="G34" s="14" t="str">
        <f t="shared" si="1"/>
        <v>---</v>
      </c>
    </row>
    <row r="35" spans="1:7" x14ac:dyDescent="0.25">
      <c r="A35" s="75" t="s">
        <v>204</v>
      </c>
      <c r="B35" s="38" t="s">
        <v>206</v>
      </c>
      <c r="C35" s="70"/>
      <c r="D35" s="70"/>
      <c r="E35" s="41" t="s">
        <v>124</v>
      </c>
      <c r="F35" s="77">
        <f>IF(E35="x",COUNTA($E$2:E35),".")</f>
        <v>19</v>
      </c>
      <c r="G35" s="14" t="str">
        <f t="shared" si="1"/>
        <v>Voulez-vous reserver un table? Oui, mais je voudrais savoir si c'est pratique</v>
      </c>
    </row>
    <row r="36" spans="1:7" x14ac:dyDescent="0.25">
      <c r="A36" s="75"/>
      <c r="B36" s="38" t="s">
        <v>209</v>
      </c>
      <c r="C36" s="70"/>
      <c r="D36" s="70"/>
      <c r="E36" s="41"/>
      <c r="F36" s="77" t="str">
        <f>IF(E36="x",COUNTA($E$2:E36),".")</f>
        <v>.</v>
      </c>
      <c r="G36" s="14" t="str">
        <f t="shared" si="1"/>
        <v>---</v>
      </c>
    </row>
    <row r="37" spans="1:7" x14ac:dyDescent="0.25">
      <c r="A37" s="75"/>
      <c r="B37" s="38" t="s">
        <v>208</v>
      </c>
      <c r="C37" s="70"/>
      <c r="D37" s="70"/>
      <c r="E37" s="41" t="s">
        <v>124</v>
      </c>
      <c r="F37" s="77">
        <f>IF(E37="x",COUNTA($E$2:E37),".")</f>
        <v>20</v>
      </c>
      <c r="G37" s="14" t="str">
        <f t="shared" si="1"/>
        <v xml:space="preserve">Est-ce que vous voulez reserver un table? </v>
      </c>
    </row>
    <row r="38" spans="1:7" ht="15.75" thickBot="1" x14ac:dyDescent="0.3">
      <c r="A38" s="76"/>
      <c r="B38" s="84" t="s">
        <v>207</v>
      </c>
      <c r="C38" s="72"/>
      <c r="D38" s="72"/>
      <c r="E38" s="43"/>
      <c r="F38" s="78" t="str">
        <f>IF(E38="x",COUNTA($E$2:E38),".")</f>
        <v>.</v>
      </c>
      <c r="G38" s="20" t="str">
        <f t="shared" si="1"/>
        <v>---</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15DA-4437-4D78-927D-2C5131050966}">
  <dimension ref="A1:K26"/>
  <sheetViews>
    <sheetView workbookViewId="0">
      <pane ySplit="1" topLeftCell="A2" activePane="bottomLeft" state="frozen"/>
      <selection pane="bottomLeft" activeCell="H5" sqref="H5"/>
    </sheetView>
  </sheetViews>
  <sheetFormatPr defaultRowHeight="15" x14ac:dyDescent="0.25"/>
  <cols>
    <col min="1" max="1" width="9.140625" style="6"/>
    <col min="2" max="2" width="91" customWidth="1"/>
    <col min="3" max="3" width="67.42578125" bestFit="1" customWidth="1"/>
    <col min="4" max="4" width="12.7109375" style="6" bestFit="1" customWidth="1"/>
    <col min="5" max="5" width="12.1406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5" t="s">
        <v>165</v>
      </c>
      <c r="B1" s="33" t="s">
        <v>121</v>
      </c>
      <c r="C1" s="23" t="s">
        <v>1</v>
      </c>
      <c r="D1" s="23" t="s">
        <v>285</v>
      </c>
      <c r="E1" s="23" t="s">
        <v>130</v>
      </c>
      <c r="F1" s="23" t="s">
        <v>122</v>
      </c>
      <c r="G1" s="23" t="s">
        <v>284</v>
      </c>
      <c r="H1" s="67"/>
      <c r="K1" s="58"/>
    </row>
    <row r="2" spans="1:11" x14ac:dyDescent="0.25">
      <c r="A2" s="74" t="s">
        <v>173</v>
      </c>
      <c r="B2" s="38" t="s">
        <v>210</v>
      </c>
      <c r="C2" s="71" t="s">
        <v>266</v>
      </c>
      <c r="D2" s="92"/>
      <c r="E2" s="64"/>
      <c r="F2" s="41" t="s">
        <v>124</v>
      </c>
      <c r="G2" s="77">
        <f>IF(F2="x",COUNTA($F$2:F2),".")</f>
        <v>1</v>
      </c>
      <c r="H2" s="14" t="str">
        <f>IF(F2="x",B2,"---")</f>
        <v>Ce n'est pas</v>
      </c>
    </row>
    <row r="3" spans="1:11" x14ac:dyDescent="0.25">
      <c r="A3" s="75" t="s">
        <v>173</v>
      </c>
      <c r="B3" s="38" t="s">
        <v>212</v>
      </c>
      <c r="C3" s="63" t="s">
        <v>299</v>
      </c>
      <c r="D3" s="93"/>
      <c r="E3" s="63"/>
      <c r="F3" s="41" t="s">
        <v>124</v>
      </c>
      <c r="G3" s="77">
        <f>IF(F3="x",COUNTA($F$2:F3),".")</f>
        <v>2</v>
      </c>
      <c r="H3" s="14" t="str">
        <f t="shared" ref="H3:H26" si="0">IF(F3="x",B3,"---")</f>
        <v>C'est pas</v>
      </c>
    </row>
    <row r="4" spans="1:11" x14ac:dyDescent="0.25">
      <c r="A4" s="75" t="s">
        <v>173</v>
      </c>
      <c r="B4" s="38" t="s">
        <v>211</v>
      </c>
      <c r="C4" s="63"/>
      <c r="D4" s="93"/>
      <c r="E4" s="63"/>
      <c r="F4" s="41" t="s">
        <v>124</v>
      </c>
      <c r="G4" s="77">
        <f>IF(F4="x",COUNTA($F$2:F4),".")</f>
        <v>3</v>
      </c>
      <c r="H4" s="14" t="str">
        <f t="shared" si="0"/>
        <v>Non, c'est pas pratique</v>
      </c>
    </row>
    <row r="5" spans="1:11" x14ac:dyDescent="0.25">
      <c r="A5" s="75"/>
      <c r="B5" s="38" t="s">
        <v>213</v>
      </c>
      <c r="C5" s="63"/>
      <c r="D5" s="93"/>
      <c r="E5" s="63"/>
      <c r="F5" s="41" t="s">
        <v>124</v>
      </c>
      <c r="G5" s="77">
        <f>IF(F5="x",COUNTA($F$2:F5),".")</f>
        <v>4</v>
      </c>
      <c r="H5" s="14" t="str">
        <f t="shared" si="0"/>
        <v>Je voudrais allez a Paris, mais c'est pas pratique</v>
      </c>
    </row>
    <row r="6" spans="1:11" x14ac:dyDescent="0.25">
      <c r="A6" s="75" t="s">
        <v>173</v>
      </c>
      <c r="B6" s="38" t="s">
        <v>214</v>
      </c>
      <c r="C6" s="63" t="s">
        <v>215</v>
      </c>
      <c r="D6" s="93"/>
      <c r="E6" s="63"/>
      <c r="F6" s="41" t="s">
        <v>124</v>
      </c>
      <c r="G6" s="77">
        <f>IF(F6="x",COUNTA($F$2:F6),".")</f>
        <v>5</v>
      </c>
      <c r="H6" s="14" t="str">
        <f t="shared" si="0"/>
        <v>Pourquoi?</v>
      </c>
    </row>
    <row r="7" spans="1:11" x14ac:dyDescent="0.25">
      <c r="A7" s="75" t="s">
        <v>204</v>
      </c>
      <c r="B7" s="38" t="s">
        <v>216</v>
      </c>
      <c r="C7" s="63"/>
      <c r="D7" s="93"/>
      <c r="E7" s="63"/>
      <c r="F7" s="41" t="s">
        <v>124</v>
      </c>
      <c r="G7" s="77">
        <f>IF(F7="x",COUNTA($F$2:F7),".")</f>
        <v>6</v>
      </c>
      <c r="H7" s="14" t="str">
        <f t="shared" si="0"/>
        <v>Pourquoi c'est pas pratique?</v>
      </c>
    </row>
    <row r="8" spans="1:11" x14ac:dyDescent="0.25">
      <c r="A8" s="75" t="s">
        <v>204</v>
      </c>
      <c r="B8" s="38" t="s">
        <v>217</v>
      </c>
      <c r="C8" s="63"/>
      <c r="D8" s="93"/>
      <c r="E8" s="63"/>
      <c r="F8" s="41" t="s">
        <v>124</v>
      </c>
      <c r="G8" s="77">
        <f>IF(F8="x",COUNTA($F$2:F8),".")</f>
        <v>7</v>
      </c>
      <c r="H8" s="14" t="str">
        <f t="shared" si="0"/>
        <v>Je voudrais savoir pourquoi c'est pas pratique</v>
      </c>
    </row>
    <row r="9" spans="1:11" x14ac:dyDescent="0.25">
      <c r="A9" s="75" t="s">
        <v>204</v>
      </c>
      <c r="B9" s="38" t="s">
        <v>218</v>
      </c>
      <c r="C9" s="63"/>
      <c r="D9" s="93"/>
      <c r="E9" s="63"/>
      <c r="F9" s="41" t="s">
        <v>124</v>
      </c>
      <c r="G9" s="77">
        <f>IF(F9="x",COUNTA($F$2:F9),".")</f>
        <v>8</v>
      </c>
      <c r="H9" s="14" t="str">
        <f t="shared" si="0"/>
        <v>Pourquoi tu as preparé le diné?</v>
      </c>
    </row>
    <row r="10" spans="1:11" x14ac:dyDescent="0.25">
      <c r="A10" s="75"/>
      <c r="B10" s="38" t="s">
        <v>221</v>
      </c>
      <c r="C10" s="63" t="s">
        <v>281</v>
      </c>
      <c r="D10" s="93"/>
      <c r="E10" s="63"/>
      <c r="F10" s="41"/>
      <c r="G10" s="77" t="str">
        <f>IF(F10="x",COUNTA($F$2:F10),".")</f>
        <v>.</v>
      </c>
      <c r="H10" s="14" t="str">
        <f t="shared" si="0"/>
        <v>---</v>
      </c>
      <c r="K10" s="91" t="s">
        <v>195</v>
      </c>
    </row>
    <row r="11" spans="1:11" x14ac:dyDescent="0.25">
      <c r="A11" s="75"/>
      <c r="B11" s="38" t="s">
        <v>220</v>
      </c>
      <c r="C11" s="63"/>
      <c r="D11" s="93"/>
      <c r="E11" s="63"/>
      <c r="F11" s="41" t="s">
        <v>124</v>
      </c>
      <c r="G11" s="77">
        <f>IF(F11="x",COUNTA($F$2:F11),".")</f>
        <v>9</v>
      </c>
      <c r="H11" s="14" t="str">
        <f t="shared" si="0"/>
        <v>Tu as préparé le café?</v>
      </c>
    </row>
    <row r="12" spans="1:11" x14ac:dyDescent="0.25">
      <c r="A12" s="75"/>
      <c r="B12" s="38" t="s">
        <v>219</v>
      </c>
      <c r="C12" s="63"/>
      <c r="D12" s="93"/>
      <c r="E12" s="63"/>
      <c r="F12" s="41"/>
      <c r="G12" s="77" t="str">
        <f>IF(F12="x",COUNTA($F$2:F12),".")</f>
        <v>.</v>
      </c>
      <c r="H12" s="14" t="str">
        <f t="shared" si="0"/>
        <v>---</v>
      </c>
    </row>
    <row r="13" spans="1:11" x14ac:dyDescent="0.25">
      <c r="A13" s="75"/>
      <c r="B13" s="38" t="s">
        <v>222</v>
      </c>
      <c r="C13" s="63"/>
      <c r="D13" s="93"/>
      <c r="E13" s="63"/>
      <c r="F13" s="41" t="s">
        <v>124</v>
      </c>
      <c r="G13" s="77">
        <f>IF(F13="x",COUNTA($F$2:F13),".")</f>
        <v>10</v>
      </c>
      <c r="H13" s="14" t="str">
        <f t="shared" si="0"/>
        <v>Tu n'as pas préparé le café?</v>
      </c>
    </row>
    <row r="14" spans="1:11" x14ac:dyDescent="0.25">
      <c r="A14" s="75"/>
      <c r="B14" s="38" t="s">
        <v>223</v>
      </c>
      <c r="C14" s="63"/>
      <c r="D14" s="93"/>
      <c r="E14" s="63"/>
      <c r="F14" s="41" t="s">
        <v>124</v>
      </c>
      <c r="G14" s="77">
        <f>IF(F14="x",COUNTA($F$2:F14),".")</f>
        <v>11</v>
      </c>
      <c r="H14" s="14" t="str">
        <f t="shared" si="0"/>
        <v>Tu as pas préparé le café?</v>
      </c>
    </row>
    <row r="15" spans="1:11" x14ac:dyDescent="0.25">
      <c r="A15" s="75"/>
      <c r="B15" s="38" t="s">
        <v>224</v>
      </c>
      <c r="C15" s="63" t="s">
        <v>301</v>
      </c>
      <c r="D15" s="93"/>
      <c r="E15" s="63"/>
      <c r="F15" s="41"/>
      <c r="G15" s="77" t="str">
        <f>IF(F15="x",COUNTA($F$2:F15),".")</f>
        <v>.</v>
      </c>
      <c r="H15" s="14" t="str">
        <f t="shared" si="0"/>
        <v>---</v>
      </c>
    </row>
    <row r="16" spans="1:11" x14ac:dyDescent="0.25">
      <c r="A16" s="75"/>
      <c r="B16" s="38" t="s">
        <v>283</v>
      </c>
      <c r="C16" s="63" t="s">
        <v>302</v>
      </c>
      <c r="D16" s="93"/>
      <c r="E16" s="63"/>
      <c r="F16" s="41"/>
      <c r="G16" s="77" t="str">
        <f>IF(F16="x",COUNTA($F$2:F16),".")</f>
        <v>.</v>
      </c>
      <c r="H16" s="14" t="str">
        <f t="shared" si="0"/>
        <v>---</v>
      </c>
    </row>
    <row r="17" spans="1:8" x14ac:dyDescent="0.25">
      <c r="A17" s="75"/>
      <c r="B17" s="38" t="s">
        <v>225</v>
      </c>
      <c r="C17" s="63"/>
      <c r="D17" s="93"/>
      <c r="E17" s="63"/>
      <c r="F17" s="41" t="s">
        <v>124</v>
      </c>
      <c r="G17" s="77">
        <f>IF(F17="x",COUNTA($F$2:F17),".")</f>
        <v>12</v>
      </c>
      <c r="H17" s="14" t="str">
        <f t="shared" si="0"/>
        <v>Je voudrais savoir pourquoi tu n'as pas préparé le café</v>
      </c>
    </row>
    <row r="18" spans="1:8" x14ac:dyDescent="0.25">
      <c r="A18" s="75"/>
      <c r="B18" s="38" t="s">
        <v>227</v>
      </c>
      <c r="C18" s="63"/>
      <c r="D18" s="93"/>
      <c r="E18" s="63"/>
      <c r="F18" s="41" t="s">
        <v>124</v>
      </c>
      <c r="G18" s="77">
        <f>IF(F18="x",COUNTA($F$2:F18),".")</f>
        <v>13</v>
      </c>
      <c r="H18" s="14" t="str">
        <f t="shared" si="0"/>
        <v>J'ai faim, pourquoi tu as pas préparé le diné?</v>
      </c>
    </row>
    <row r="19" spans="1:8" x14ac:dyDescent="0.25">
      <c r="A19" s="75"/>
      <c r="B19" s="38" t="s">
        <v>226</v>
      </c>
      <c r="C19" s="63" t="s">
        <v>300</v>
      </c>
      <c r="D19" s="93"/>
      <c r="E19" s="63"/>
      <c r="F19" s="41"/>
      <c r="G19" s="77" t="str">
        <f>IF(F19="x",COUNTA($F$2:F19),".")</f>
        <v>.</v>
      </c>
      <c r="H19" s="14" t="str">
        <f t="shared" si="0"/>
        <v>---</v>
      </c>
    </row>
    <row r="20" spans="1:8" x14ac:dyDescent="0.25">
      <c r="A20" s="75"/>
      <c r="B20" s="38" t="s">
        <v>228</v>
      </c>
      <c r="C20" s="63"/>
      <c r="D20" s="93" t="s">
        <v>235</v>
      </c>
      <c r="E20" s="63"/>
      <c r="F20" s="41" t="s">
        <v>124</v>
      </c>
      <c r="G20" s="77">
        <f>IF(F20="x",COUNTA($F$2:F20),".")</f>
        <v>14</v>
      </c>
      <c r="H20" s="14" t="str">
        <f t="shared" si="0"/>
        <v>Je n'ai pas visité Paris</v>
      </c>
    </row>
    <row r="21" spans="1:8" x14ac:dyDescent="0.25">
      <c r="A21" s="75"/>
      <c r="B21" s="38" t="s">
        <v>229</v>
      </c>
      <c r="C21" s="63"/>
      <c r="D21" s="93"/>
      <c r="E21" s="63"/>
      <c r="F21" s="41" t="s">
        <v>124</v>
      </c>
      <c r="G21" s="77">
        <f>IF(F21="x",COUNTA($F$2:F21),".")</f>
        <v>15</v>
      </c>
      <c r="H21" s="14" t="str">
        <f t="shared" si="0"/>
        <v>Je n'ai pas invité Jean au ciné(ma)</v>
      </c>
    </row>
    <row r="22" spans="1:8" x14ac:dyDescent="0.25">
      <c r="A22" s="75" t="s">
        <v>173</v>
      </c>
      <c r="B22" s="38" t="s">
        <v>230</v>
      </c>
      <c r="C22" s="63"/>
      <c r="D22" s="93"/>
      <c r="E22" s="63"/>
      <c r="F22" s="41" t="s">
        <v>124</v>
      </c>
      <c r="G22" s="77">
        <f>IF(F22="x",COUNTA($F$2:F22),".")</f>
        <v>16</v>
      </c>
      <c r="H22" s="14" t="str">
        <f t="shared" si="0"/>
        <v>Désolé</v>
      </c>
    </row>
    <row r="23" spans="1:8" x14ac:dyDescent="0.25">
      <c r="A23" s="75"/>
      <c r="B23" s="38" t="s">
        <v>231</v>
      </c>
      <c r="C23" s="63"/>
      <c r="D23" s="93"/>
      <c r="E23" s="63"/>
      <c r="F23" s="41" t="s">
        <v>124</v>
      </c>
      <c r="G23" s="77">
        <f>IF(F23="x",COUNTA($F$2:F23),".")</f>
        <v>17</v>
      </c>
      <c r="H23" s="14" t="str">
        <f t="shared" si="0"/>
        <v>J'ai pas préparé le café, désolé</v>
      </c>
    </row>
    <row r="24" spans="1:8" x14ac:dyDescent="0.25">
      <c r="A24" s="75"/>
      <c r="B24" s="38" t="s">
        <v>232</v>
      </c>
      <c r="C24" s="63"/>
      <c r="D24" s="93"/>
      <c r="E24" s="63"/>
      <c r="F24" s="41" t="s">
        <v>124</v>
      </c>
      <c r="G24" s="77">
        <f>IF(F24="x",COUNTA($F$2:F24),".")</f>
        <v>18</v>
      </c>
      <c r="H24" s="14" t="str">
        <f t="shared" si="0"/>
        <v>Désolé, mais j'ai pas préparé le café</v>
      </c>
    </row>
    <row r="25" spans="1:8" x14ac:dyDescent="0.25">
      <c r="A25" s="75" t="s">
        <v>173</v>
      </c>
      <c r="B25" s="38" t="s">
        <v>118</v>
      </c>
      <c r="C25" s="63" t="s">
        <v>234</v>
      </c>
      <c r="D25" s="93"/>
      <c r="E25" s="63"/>
      <c r="F25" s="41" t="s">
        <v>124</v>
      </c>
      <c r="G25" s="77">
        <f>IF(F25="x",COUNTA($F$2:F25),".")</f>
        <v>19</v>
      </c>
      <c r="H25" s="14" t="str">
        <f t="shared" si="0"/>
        <v>Français</v>
      </c>
    </row>
    <row r="26" spans="1:8" ht="15.75" thickBot="1" x14ac:dyDescent="0.3">
      <c r="A26" s="76"/>
      <c r="B26" s="84" t="s">
        <v>233</v>
      </c>
      <c r="C26" s="66" t="s">
        <v>303</v>
      </c>
      <c r="D26" s="94"/>
      <c r="E26" s="66"/>
      <c r="F26" s="43" t="s">
        <v>124</v>
      </c>
      <c r="G26" s="78">
        <f>IF(F26="x",COUNTA($F$2:F26),".")</f>
        <v>20</v>
      </c>
      <c r="H26" s="20" t="str">
        <f t="shared" si="0"/>
        <v>Désolé, mais j'ai pas réservé une table au restau Français</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239D-86EE-4A73-853E-66F22ED124BA}">
  <dimension ref="A1:K33"/>
  <sheetViews>
    <sheetView workbookViewId="0">
      <pane ySplit="1" topLeftCell="A2" activePane="bottomLeft" state="frozen"/>
      <selection pane="bottomLeft" activeCell="B29" sqref="B29"/>
    </sheetView>
  </sheetViews>
  <sheetFormatPr defaultRowHeight="15" x14ac:dyDescent="0.25"/>
  <cols>
    <col min="1" max="1" width="9.140625" style="6"/>
    <col min="2" max="2" width="91" customWidth="1"/>
    <col min="3" max="3" width="67.42578125" bestFit="1" customWidth="1"/>
    <col min="4" max="4" width="12.7109375" style="6" bestFit="1" customWidth="1"/>
    <col min="5" max="5" width="12.1406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5" t="s">
        <v>165</v>
      </c>
      <c r="B1" s="33" t="s">
        <v>121</v>
      </c>
      <c r="C1" s="23" t="s">
        <v>1</v>
      </c>
      <c r="D1" s="23" t="s">
        <v>285</v>
      </c>
      <c r="E1" s="23" t="s">
        <v>130</v>
      </c>
      <c r="F1" s="23" t="s">
        <v>122</v>
      </c>
      <c r="G1" s="23" t="s">
        <v>284</v>
      </c>
      <c r="H1" s="67"/>
      <c r="K1" s="58"/>
    </row>
    <row r="2" spans="1:11" x14ac:dyDescent="0.25">
      <c r="A2" s="74"/>
      <c r="B2" s="86" t="s">
        <v>236</v>
      </c>
      <c r="C2" s="64"/>
      <c r="D2" s="92" t="s">
        <v>251</v>
      </c>
      <c r="E2" s="64"/>
      <c r="F2" s="57"/>
      <c r="G2" s="79" t="str">
        <f>IF(F2="x",COUNTA($F$2:F2),".")</f>
        <v>.</v>
      </c>
      <c r="H2" s="46" t="str">
        <f t="shared" ref="H2:H33" si="0">IF(F2="x",B2,"---")</f>
        <v>---</v>
      </c>
    </row>
    <row r="3" spans="1:11" x14ac:dyDescent="0.25">
      <c r="A3" s="75" t="s">
        <v>304</v>
      </c>
      <c r="B3" s="38" t="s">
        <v>237</v>
      </c>
      <c r="C3" s="63" t="s">
        <v>239</v>
      </c>
      <c r="D3" s="93"/>
      <c r="E3" s="63"/>
      <c r="F3" s="41"/>
      <c r="G3" s="77" t="str">
        <f>IF(F3="x",COUNTA($F$2:F3),".")</f>
        <v>.</v>
      </c>
      <c r="H3" s="14" t="str">
        <f t="shared" si="0"/>
        <v>---</v>
      </c>
    </row>
    <row r="4" spans="1:11" x14ac:dyDescent="0.25">
      <c r="A4" s="75"/>
      <c r="B4" s="38" t="s">
        <v>238</v>
      </c>
      <c r="C4" s="63"/>
      <c r="D4" s="93"/>
      <c r="E4" s="63"/>
      <c r="F4" s="41"/>
      <c r="G4" s="77" t="str">
        <f>IF(F4="x",COUNTA($F$2:F4),".")</f>
        <v>.</v>
      </c>
      <c r="H4" s="14" t="str">
        <f t="shared" si="0"/>
        <v>---</v>
      </c>
    </row>
    <row r="5" spans="1:11" x14ac:dyDescent="0.25">
      <c r="A5" s="75" t="s">
        <v>173</v>
      </c>
      <c r="B5" s="38" t="s">
        <v>240</v>
      </c>
      <c r="C5" s="63"/>
      <c r="D5" s="93"/>
      <c r="E5" s="63"/>
      <c r="F5" s="41"/>
      <c r="G5" s="77" t="str">
        <f>IF(F5="x",COUNTA($F$2:F5),".")</f>
        <v>.</v>
      </c>
      <c r="H5" s="14" t="str">
        <f t="shared" si="0"/>
        <v>---</v>
      </c>
    </row>
    <row r="6" spans="1:11" x14ac:dyDescent="0.25">
      <c r="A6" s="75"/>
      <c r="B6" s="38" t="s">
        <v>241</v>
      </c>
      <c r="C6" s="63"/>
      <c r="D6" s="93"/>
      <c r="E6" s="63"/>
      <c r="F6" s="41"/>
      <c r="G6" s="77" t="str">
        <f>IF(F6="x",COUNTA($F$2:F6),".")</f>
        <v>.</v>
      </c>
      <c r="H6" s="14" t="str">
        <f t="shared" si="0"/>
        <v>---</v>
      </c>
    </row>
    <row r="7" spans="1:11" x14ac:dyDescent="0.25">
      <c r="A7" s="75"/>
      <c r="B7" s="38" t="s">
        <v>242</v>
      </c>
      <c r="C7" s="63"/>
      <c r="D7" s="93"/>
      <c r="E7" s="63"/>
      <c r="F7" s="41"/>
      <c r="G7" s="77" t="str">
        <f>IF(F7="x",COUNTA($F$2:F7),".")</f>
        <v>.</v>
      </c>
      <c r="H7" s="14" t="str">
        <f t="shared" si="0"/>
        <v>---</v>
      </c>
    </row>
    <row r="8" spans="1:11" x14ac:dyDescent="0.25">
      <c r="A8" s="75"/>
      <c r="B8" s="38" t="s">
        <v>243</v>
      </c>
      <c r="C8" s="63"/>
      <c r="D8" s="93"/>
      <c r="E8" s="63"/>
      <c r="F8" s="41"/>
      <c r="G8" s="77" t="str">
        <f>IF(F8="x",COUNTA($F$2:F8),".")</f>
        <v>.</v>
      </c>
      <c r="H8" s="14" t="str">
        <f t="shared" si="0"/>
        <v>---</v>
      </c>
    </row>
    <row r="9" spans="1:11" x14ac:dyDescent="0.25">
      <c r="A9" s="75"/>
      <c r="B9" s="38" t="s">
        <v>244</v>
      </c>
      <c r="C9" s="63"/>
      <c r="D9" s="93"/>
      <c r="E9" s="63"/>
      <c r="F9" s="41"/>
      <c r="G9" s="77" t="str">
        <f>IF(F9="x",COUNTA($F$2:F9),".")</f>
        <v>.</v>
      </c>
      <c r="H9" s="14" t="str">
        <f t="shared" si="0"/>
        <v>---</v>
      </c>
    </row>
    <row r="10" spans="1:11" x14ac:dyDescent="0.25">
      <c r="A10" s="75"/>
      <c r="B10" s="38" t="s">
        <v>246</v>
      </c>
      <c r="C10" s="63"/>
      <c r="D10" s="93"/>
      <c r="E10" s="63"/>
      <c r="F10" s="41"/>
      <c r="G10" s="77" t="str">
        <f>IF(F10="x",COUNTA($F$2:F10),".")</f>
        <v>.</v>
      </c>
      <c r="H10" s="14" t="str">
        <f t="shared" si="0"/>
        <v>---</v>
      </c>
    </row>
    <row r="11" spans="1:11" x14ac:dyDescent="0.25">
      <c r="A11" s="75"/>
      <c r="B11" s="38" t="s">
        <v>245</v>
      </c>
      <c r="C11" s="63"/>
      <c r="D11" s="93"/>
      <c r="E11" s="63"/>
      <c r="F11" s="41"/>
      <c r="G11" s="77" t="str">
        <f>IF(F11="x",COUNTA($F$2:F11),".")</f>
        <v>.</v>
      </c>
      <c r="H11" s="14" t="str">
        <f t="shared" si="0"/>
        <v>---</v>
      </c>
    </row>
    <row r="12" spans="1:11" x14ac:dyDescent="0.25">
      <c r="A12" s="75"/>
      <c r="B12" s="38" t="s">
        <v>247</v>
      </c>
      <c r="C12" s="63"/>
      <c r="D12" s="93"/>
      <c r="E12" s="63"/>
      <c r="F12" s="41"/>
      <c r="G12" s="77" t="str">
        <f>IF(F12="x",COUNTA($F$2:F12),".")</f>
        <v>.</v>
      </c>
      <c r="H12" s="14" t="str">
        <f t="shared" si="0"/>
        <v>---</v>
      </c>
    </row>
    <row r="13" spans="1:11" x14ac:dyDescent="0.25">
      <c r="A13" s="75" t="s">
        <v>173</v>
      </c>
      <c r="B13" s="38" t="s">
        <v>248</v>
      </c>
      <c r="C13" s="63"/>
      <c r="D13" s="93"/>
      <c r="E13" s="63"/>
      <c r="F13" s="41"/>
      <c r="G13" s="77" t="str">
        <f>IF(F13="x",COUNTA($F$2:F13),".")</f>
        <v>.</v>
      </c>
      <c r="H13" s="14" t="str">
        <f t="shared" si="0"/>
        <v>---</v>
      </c>
    </row>
    <row r="14" spans="1:11" x14ac:dyDescent="0.25">
      <c r="A14" s="75"/>
      <c r="B14" s="38" t="s">
        <v>253</v>
      </c>
      <c r="C14" s="63"/>
      <c r="D14" s="93"/>
      <c r="E14" s="63"/>
      <c r="F14" s="41"/>
      <c r="G14" s="77" t="str">
        <f>IF(F14="x",COUNTA($F$2:F14),".")</f>
        <v>.</v>
      </c>
      <c r="H14" s="14" t="str">
        <f t="shared" si="0"/>
        <v>---</v>
      </c>
    </row>
    <row r="15" spans="1:11" x14ac:dyDescent="0.25">
      <c r="A15" s="75" t="s">
        <v>173</v>
      </c>
      <c r="B15" s="38" t="s">
        <v>249</v>
      </c>
      <c r="C15" s="63"/>
      <c r="D15" s="93"/>
      <c r="E15" s="63"/>
      <c r="F15" s="41"/>
      <c r="G15" s="77" t="str">
        <f>IF(F15="x",COUNTA($F$2:F15),".")</f>
        <v>.</v>
      </c>
      <c r="H15" s="14" t="str">
        <f t="shared" si="0"/>
        <v>---</v>
      </c>
    </row>
    <row r="16" spans="1:11" x14ac:dyDescent="0.25">
      <c r="A16" s="75"/>
      <c r="B16" s="38" t="s">
        <v>254</v>
      </c>
      <c r="C16" s="63"/>
      <c r="D16" s="93"/>
      <c r="E16" s="63"/>
      <c r="F16" s="41"/>
      <c r="G16" s="77" t="str">
        <f>IF(F16="x",COUNTA($F$2:F16),".")</f>
        <v>.</v>
      </c>
      <c r="H16" s="14" t="str">
        <f t="shared" si="0"/>
        <v>---</v>
      </c>
    </row>
    <row r="17" spans="1:8" x14ac:dyDescent="0.25">
      <c r="A17" s="75"/>
      <c r="B17" s="38" t="s">
        <v>255</v>
      </c>
      <c r="C17" s="63"/>
      <c r="D17" s="93"/>
      <c r="E17" s="63"/>
      <c r="F17" s="41"/>
      <c r="G17" s="77" t="str">
        <f>IF(F17="x",COUNTA($F$2:F17),".")</f>
        <v>.</v>
      </c>
      <c r="H17" s="14" t="str">
        <f t="shared" si="0"/>
        <v>---</v>
      </c>
    </row>
    <row r="18" spans="1:8" x14ac:dyDescent="0.25">
      <c r="A18" s="75"/>
      <c r="B18" s="38" t="s">
        <v>256</v>
      </c>
      <c r="C18" s="63"/>
      <c r="D18" s="93"/>
      <c r="E18" s="63"/>
      <c r="F18" s="41"/>
      <c r="G18" s="77" t="str">
        <f>IF(F18="x",COUNTA($F$2:F18),".")</f>
        <v>.</v>
      </c>
      <c r="H18" s="14" t="str">
        <f t="shared" si="0"/>
        <v>---</v>
      </c>
    </row>
    <row r="19" spans="1:8" x14ac:dyDescent="0.25">
      <c r="A19" s="75"/>
      <c r="B19" s="38" t="s">
        <v>250</v>
      </c>
      <c r="C19" s="63"/>
      <c r="D19" s="93"/>
      <c r="E19" s="63"/>
      <c r="F19" s="41"/>
      <c r="G19" s="77" t="str">
        <f>IF(F19="x",COUNTA($F$2:F19),".")</f>
        <v>.</v>
      </c>
      <c r="H19" s="14" t="str">
        <f t="shared" si="0"/>
        <v>---</v>
      </c>
    </row>
    <row r="20" spans="1:8" x14ac:dyDescent="0.25">
      <c r="A20" s="75"/>
      <c r="B20" s="38" t="s">
        <v>252</v>
      </c>
      <c r="C20" s="63"/>
      <c r="D20" s="93"/>
      <c r="E20" s="63"/>
      <c r="F20" s="41"/>
      <c r="G20" s="77" t="str">
        <f>IF(F20="x",COUNTA($F$2:F20),".")</f>
        <v>.</v>
      </c>
      <c r="H20" s="14" t="str">
        <f t="shared" si="0"/>
        <v>---</v>
      </c>
    </row>
    <row r="21" spans="1:8" x14ac:dyDescent="0.25">
      <c r="A21" s="75"/>
      <c r="B21" s="38" t="s">
        <v>257</v>
      </c>
      <c r="C21" s="63"/>
      <c r="D21" s="93" t="s">
        <v>269</v>
      </c>
      <c r="E21" s="63"/>
      <c r="F21" s="41"/>
      <c r="G21" s="77" t="str">
        <f>IF(F21="x",COUNTA($F$2:F21),".")</f>
        <v>.</v>
      </c>
      <c r="H21" s="14" t="str">
        <f t="shared" si="0"/>
        <v>---</v>
      </c>
    </row>
    <row r="22" spans="1:8" x14ac:dyDescent="0.25">
      <c r="A22" s="75"/>
      <c r="B22" s="38" t="s">
        <v>258</v>
      </c>
      <c r="C22" s="63"/>
      <c r="D22" s="93"/>
      <c r="E22" s="63"/>
      <c r="F22" s="41"/>
      <c r="G22" s="77" t="str">
        <f>IF(F22="x",COUNTA($F$2:F22),".")</f>
        <v>.</v>
      </c>
      <c r="H22" s="14" t="str">
        <f t="shared" si="0"/>
        <v>---</v>
      </c>
    </row>
    <row r="23" spans="1:8" x14ac:dyDescent="0.25">
      <c r="A23" s="75"/>
      <c r="B23" s="38" t="s">
        <v>259</v>
      </c>
      <c r="C23" s="63"/>
      <c r="D23" s="93"/>
      <c r="E23" s="63"/>
      <c r="F23" s="41"/>
      <c r="G23" s="77" t="str">
        <f>IF(F23="x",COUNTA($F$2:F23),".")</f>
        <v>.</v>
      </c>
      <c r="H23" s="14" t="str">
        <f t="shared" si="0"/>
        <v>---</v>
      </c>
    </row>
    <row r="24" spans="1:8" x14ac:dyDescent="0.25">
      <c r="A24" s="75"/>
      <c r="B24" s="38" t="s">
        <v>260</v>
      </c>
      <c r="C24" s="63"/>
      <c r="D24" s="93"/>
      <c r="E24" s="63"/>
      <c r="F24" s="41"/>
      <c r="G24" s="77" t="str">
        <f>IF(F24="x",COUNTA($F$2:F24),".")</f>
        <v>.</v>
      </c>
      <c r="H24" s="14" t="str">
        <f t="shared" si="0"/>
        <v>---</v>
      </c>
    </row>
    <row r="25" spans="1:8" x14ac:dyDescent="0.25">
      <c r="A25" s="75"/>
      <c r="B25" s="38" t="s">
        <v>261</v>
      </c>
      <c r="C25" s="63"/>
      <c r="D25" s="93"/>
      <c r="E25" s="63"/>
      <c r="F25" s="41"/>
      <c r="G25" s="77" t="str">
        <f>IF(F25="x",COUNTA($F$2:F25),".")</f>
        <v>.</v>
      </c>
      <c r="H25" s="14" t="str">
        <f t="shared" si="0"/>
        <v>---</v>
      </c>
    </row>
    <row r="26" spans="1:8" x14ac:dyDescent="0.25">
      <c r="A26" s="75" t="s">
        <v>173</v>
      </c>
      <c r="B26" s="38" t="s">
        <v>305</v>
      </c>
      <c r="C26" s="63"/>
      <c r="D26" s="93"/>
      <c r="E26" s="63"/>
      <c r="F26" s="41"/>
      <c r="G26" s="77" t="str">
        <f>IF(F26="x",COUNTA($F$2:F26),".")</f>
        <v>.</v>
      </c>
      <c r="H26" s="14" t="str">
        <f t="shared" si="0"/>
        <v>---</v>
      </c>
    </row>
    <row r="27" spans="1:8" x14ac:dyDescent="0.25">
      <c r="A27" s="75"/>
      <c r="B27" s="38" t="s">
        <v>262</v>
      </c>
      <c r="C27" s="63"/>
      <c r="D27" s="93"/>
      <c r="E27" s="63"/>
      <c r="F27" s="41"/>
      <c r="G27" s="77" t="str">
        <f>IF(F27="x",COUNTA($F$2:F27),".")</f>
        <v>.</v>
      </c>
      <c r="H27" s="14" t="str">
        <f t="shared" si="0"/>
        <v>---</v>
      </c>
    </row>
    <row r="28" spans="1:8" x14ac:dyDescent="0.25">
      <c r="A28" s="75"/>
      <c r="B28" s="38" t="s">
        <v>263</v>
      </c>
      <c r="C28" s="63"/>
      <c r="D28" s="93"/>
      <c r="E28" s="63"/>
      <c r="F28" s="41"/>
      <c r="G28" s="77" t="str">
        <f>IF(F28="x",COUNTA($F$2:F28),".")</f>
        <v>.</v>
      </c>
      <c r="H28" s="14" t="str">
        <f t="shared" si="0"/>
        <v>---</v>
      </c>
    </row>
    <row r="29" spans="1:8" x14ac:dyDescent="0.25">
      <c r="A29" s="75" t="s">
        <v>173</v>
      </c>
      <c r="B29" s="38" t="s">
        <v>267</v>
      </c>
      <c r="C29" s="63"/>
      <c r="D29" s="93"/>
      <c r="E29" s="63"/>
      <c r="F29" s="41"/>
      <c r="G29" s="77" t="str">
        <f>IF(F29="x",COUNTA($F$2:F29),".")</f>
        <v>.</v>
      </c>
      <c r="H29" s="14" t="str">
        <f t="shared" si="0"/>
        <v>---</v>
      </c>
    </row>
    <row r="30" spans="1:8" x14ac:dyDescent="0.25">
      <c r="A30" s="75"/>
      <c r="B30" s="38" t="s">
        <v>268</v>
      </c>
      <c r="C30" s="63"/>
      <c r="D30" s="93"/>
      <c r="E30" s="63"/>
      <c r="F30" s="41"/>
      <c r="G30" s="77" t="str">
        <f>IF(F30="x",COUNTA($F$2:F30),".")</f>
        <v>.</v>
      </c>
      <c r="H30" s="14" t="str">
        <f t="shared" si="0"/>
        <v>---</v>
      </c>
    </row>
    <row r="31" spans="1:8" ht="15.75" thickBot="1" x14ac:dyDescent="0.3">
      <c r="A31" s="75"/>
      <c r="B31" s="38" t="s">
        <v>252</v>
      </c>
      <c r="C31" s="63"/>
      <c r="D31" s="93" t="s">
        <v>306</v>
      </c>
      <c r="E31" s="63"/>
      <c r="F31" s="41"/>
      <c r="G31" s="77" t="str">
        <f>IF(F31="x",COUNTA($F$2:F31),".")</f>
        <v>.</v>
      </c>
      <c r="H31" s="14" t="str">
        <f t="shared" si="0"/>
        <v>---</v>
      </c>
    </row>
    <row r="32" spans="1:8" x14ac:dyDescent="0.25">
      <c r="A32" s="74" t="s">
        <v>173</v>
      </c>
      <c r="B32" s="86" t="s">
        <v>264</v>
      </c>
      <c r="C32" s="64"/>
      <c r="D32" s="92"/>
      <c r="E32" s="64"/>
      <c r="F32" s="57"/>
      <c r="G32" s="79" t="str">
        <f>IF(F32="x",COUNTA($F$2:F32),".")</f>
        <v>.</v>
      </c>
      <c r="H32" s="46" t="str">
        <f t="shared" si="0"/>
        <v>---</v>
      </c>
    </row>
    <row r="33" spans="1:8" x14ac:dyDescent="0.25">
      <c r="A33" s="75"/>
      <c r="B33" s="38" t="s">
        <v>265</v>
      </c>
      <c r="C33" s="63"/>
      <c r="D33" s="93"/>
      <c r="E33" s="63"/>
      <c r="F33" s="41"/>
      <c r="G33" s="77" t="str">
        <f>IF(F33="x",COUNTA($F$2:F33),".")</f>
        <v>.</v>
      </c>
      <c r="H33" s="14" t="str">
        <f t="shared" si="0"/>
        <v>---</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4358-225E-41BC-98B3-8C466ECC7397}">
  <dimension ref="A1:K34"/>
  <sheetViews>
    <sheetView workbookViewId="0">
      <pane ySplit="1" topLeftCell="A2" activePane="bottomLeft" state="frozen"/>
      <selection pane="bottomLeft" activeCell="B37" sqref="B37"/>
    </sheetView>
  </sheetViews>
  <sheetFormatPr defaultRowHeight="15" x14ac:dyDescent="0.25"/>
  <cols>
    <col min="1" max="1" width="9.140625" style="6"/>
    <col min="2" max="2" width="91" customWidth="1"/>
    <col min="3" max="3" width="67.42578125" bestFit="1" customWidth="1"/>
    <col min="4" max="4" width="12.7109375" style="6" bestFit="1" customWidth="1"/>
    <col min="5" max="5" width="12.1406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5" t="s">
        <v>165</v>
      </c>
      <c r="B1" s="33" t="s">
        <v>121</v>
      </c>
      <c r="C1" s="23" t="s">
        <v>1</v>
      </c>
      <c r="D1" s="23" t="s">
        <v>285</v>
      </c>
      <c r="E1" s="23" t="s">
        <v>130</v>
      </c>
      <c r="F1" s="23" t="s">
        <v>122</v>
      </c>
      <c r="G1" s="23" t="s">
        <v>284</v>
      </c>
      <c r="H1" s="67"/>
      <c r="K1" s="58"/>
    </row>
    <row r="2" spans="1:11" x14ac:dyDescent="0.25">
      <c r="A2" s="75"/>
      <c r="B2" s="102" t="s">
        <v>308</v>
      </c>
      <c r="C2" s="103" t="s">
        <v>309</v>
      </c>
      <c r="D2" s="93"/>
      <c r="E2" s="63"/>
      <c r="F2" s="41"/>
      <c r="G2" s="77" t="str">
        <f>IF(F2="x",COUNTA($F$2:F2),".")</f>
        <v>.</v>
      </c>
      <c r="H2" s="14" t="str">
        <f t="shared" ref="H2:H8" si="0">IF(F2="x",B2,"---")</f>
        <v>---</v>
      </c>
    </row>
    <row r="3" spans="1:11" x14ac:dyDescent="0.25">
      <c r="A3" s="75"/>
      <c r="B3" s="87" t="s">
        <v>315</v>
      </c>
      <c r="C3" s="103"/>
      <c r="D3" s="93"/>
      <c r="E3" s="63"/>
      <c r="F3" s="41" t="s">
        <v>124</v>
      </c>
      <c r="G3" s="77">
        <f>IF(F3="x",COUNTA($F$2:F3),".")</f>
        <v>1</v>
      </c>
      <c r="H3" s="14" t="str">
        <f t="shared" si="0"/>
        <v>Un appartement</v>
      </c>
    </row>
    <row r="4" spans="1:11" x14ac:dyDescent="0.25">
      <c r="A4" s="75"/>
      <c r="B4" s="38" t="s">
        <v>316</v>
      </c>
      <c r="C4" s="63"/>
      <c r="D4" s="93"/>
      <c r="E4" s="63"/>
      <c r="F4" s="41" t="s">
        <v>124</v>
      </c>
      <c r="G4" s="77">
        <f>IF(F4="x",COUNTA($F$2:F4),".")</f>
        <v>2</v>
      </c>
      <c r="H4" s="14" t="str">
        <f t="shared" si="0"/>
        <v>Elle a un appartement à Paris</v>
      </c>
    </row>
    <row r="5" spans="1:11" x14ac:dyDescent="0.25">
      <c r="A5" s="75"/>
      <c r="B5" s="38" t="s">
        <v>317</v>
      </c>
      <c r="C5" s="63"/>
      <c r="D5" s="93"/>
      <c r="E5" s="63"/>
      <c r="F5" s="41"/>
      <c r="G5" s="77" t="str">
        <f>IF(F5="x",COUNTA($F$2:F5),".")</f>
        <v>.</v>
      </c>
      <c r="H5" s="14" t="str">
        <f t="shared" si="0"/>
        <v>---</v>
      </c>
    </row>
    <row r="6" spans="1:11" x14ac:dyDescent="0.25">
      <c r="A6" s="75"/>
      <c r="B6" s="38" t="s">
        <v>310</v>
      </c>
      <c r="C6" s="63"/>
      <c r="D6" s="93"/>
      <c r="E6" s="63"/>
      <c r="F6" s="41"/>
      <c r="G6" s="77" t="str">
        <f>IF(F6="x",COUNTA($F$2:F6),".")</f>
        <v>.</v>
      </c>
      <c r="H6" s="14" t="str">
        <f t="shared" si="0"/>
        <v>---</v>
      </c>
    </row>
    <row r="7" spans="1:11" x14ac:dyDescent="0.25">
      <c r="A7" s="75"/>
      <c r="B7" s="38" t="s">
        <v>318</v>
      </c>
      <c r="C7" s="63"/>
      <c r="D7" s="93"/>
      <c r="E7" s="63"/>
      <c r="F7" s="41" t="s">
        <v>124</v>
      </c>
      <c r="G7" s="77">
        <f>IF(F7="x",COUNTA($F$2:F7),".")</f>
        <v>3</v>
      </c>
      <c r="H7" s="14" t="str">
        <f t="shared" si="0"/>
        <v>Elle peut voir tout Paris</v>
      </c>
    </row>
    <row r="8" spans="1:11" x14ac:dyDescent="0.25">
      <c r="A8" s="75"/>
      <c r="B8" s="38" t="s">
        <v>349</v>
      </c>
      <c r="C8" s="63"/>
      <c r="D8" s="93"/>
      <c r="E8" s="63"/>
      <c r="F8" s="41" t="s">
        <v>124</v>
      </c>
      <c r="G8" s="77">
        <f>IF(F8="x",COUNTA($F$2:F8),".")</f>
        <v>4</v>
      </c>
      <c r="H8" s="14" t="str">
        <f t="shared" si="0"/>
        <v>C'est magnifique!</v>
      </c>
    </row>
    <row r="9" spans="1:11" x14ac:dyDescent="0.25">
      <c r="A9" s="75"/>
      <c r="B9" s="38" t="s">
        <v>319</v>
      </c>
      <c r="C9" s="63"/>
      <c r="D9" s="93"/>
      <c r="E9" s="63"/>
      <c r="F9" s="41" t="s">
        <v>124</v>
      </c>
      <c r="G9" s="77">
        <f>IF(F9="x",COUNTA($F$2:F9),".")</f>
        <v>5</v>
      </c>
      <c r="H9" s="14" t="str">
        <f t="shared" ref="H9:H34" si="1">IF(F9="x",B9,"---")</f>
        <v>Et toi, tu as un grand appartement?</v>
      </c>
    </row>
    <row r="10" spans="1:11" x14ac:dyDescent="0.25">
      <c r="A10" s="75"/>
      <c r="B10" s="38" t="s">
        <v>320</v>
      </c>
      <c r="C10" s="63"/>
      <c r="D10" s="93"/>
      <c r="E10" s="63" t="s">
        <v>287</v>
      </c>
      <c r="F10" s="41" t="s">
        <v>124</v>
      </c>
      <c r="G10" s="77">
        <f>IF(F10="x",COUNTA($F$2:F10),".")</f>
        <v>6</v>
      </c>
      <c r="H10" s="14" t="str">
        <f t="shared" si="1"/>
        <v>Non, j'ai un petit appartement</v>
      </c>
    </row>
    <row r="11" spans="1:11" x14ac:dyDescent="0.25">
      <c r="A11" s="75"/>
      <c r="B11" s="38" t="s">
        <v>311</v>
      </c>
      <c r="C11" s="63" t="s">
        <v>289</v>
      </c>
      <c r="D11" s="93"/>
      <c r="E11" s="63" t="s">
        <v>288</v>
      </c>
      <c r="F11" s="41" t="s">
        <v>124</v>
      </c>
      <c r="G11" s="77">
        <f>IF(F11="x",COUNTA($F$2:F11),".")</f>
        <v>7</v>
      </c>
      <c r="H11" s="14" t="str">
        <f t="shared" si="1"/>
        <v>Je peux le voir?</v>
      </c>
    </row>
    <row r="12" spans="1:11" ht="15.75" thickBot="1" x14ac:dyDescent="0.3">
      <c r="A12" s="76"/>
      <c r="B12" s="84" t="s">
        <v>312</v>
      </c>
      <c r="C12" s="66"/>
      <c r="D12" s="94" t="s">
        <v>290</v>
      </c>
      <c r="E12" s="66"/>
      <c r="F12" s="43" t="s">
        <v>124</v>
      </c>
      <c r="G12" s="78">
        <f>IF(F12="x",COUNTA($F$2:F12),".")</f>
        <v>8</v>
      </c>
      <c r="H12" s="20" t="str">
        <f t="shared" si="1"/>
        <v>Ouah, c'est magnifique!</v>
      </c>
    </row>
    <row r="13" spans="1:11" x14ac:dyDescent="0.25">
      <c r="A13" s="74"/>
      <c r="B13" s="86" t="s">
        <v>313</v>
      </c>
      <c r="C13" s="64"/>
      <c r="D13" s="92"/>
      <c r="E13" s="64"/>
      <c r="F13" s="57"/>
      <c r="G13" s="79" t="str">
        <f>IF(F13="x",COUNTA($F$2:F13),".")</f>
        <v>.</v>
      </c>
      <c r="H13" s="46" t="str">
        <f t="shared" si="1"/>
        <v>---</v>
      </c>
    </row>
    <row r="14" spans="1:11" x14ac:dyDescent="0.25">
      <c r="A14" s="75"/>
      <c r="B14" s="38" t="s">
        <v>350</v>
      </c>
      <c r="C14" s="63"/>
      <c r="D14" s="93"/>
      <c r="E14" s="63"/>
      <c r="F14" s="41" t="s">
        <v>124</v>
      </c>
      <c r="G14" s="77">
        <f>IF(F14="x",COUNTA($F$2:F14),".")</f>
        <v>9</v>
      </c>
      <c r="H14" s="14" t="str">
        <f t="shared" si="1"/>
        <v>Tu peux me voir?</v>
      </c>
    </row>
    <row r="15" spans="1:11" x14ac:dyDescent="0.25">
      <c r="A15" s="75"/>
      <c r="B15" s="38" t="s">
        <v>292</v>
      </c>
      <c r="C15" s="63"/>
      <c r="D15" s="93"/>
      <c r="E15" s="63"/>
      <c r="F15" s="41" t="s">
        <v>124</v>
      </c>
      <c r="G15" s="77">
        <f>IF(F15="x",COUNTA($F$2:F15),".")</f>
        <v>10</v>
      </c>
      <c r="H15" s="14" t="str">
        <f t="shared" si="1"/>
        <v>Il peut le voir</v>
      </c>
    </row>
    <row r="16" spans="1:11" x14ac:dyDescent="0.25">
      <c r="A16" s="75"/>
      <c r="B16" s="38" t="s">
        <v>293</v>
      </c>
      <c r="C16" s="63"/>
      <c r="D16" s="93"/>
      <c r="E16" s="63"/>
      <c r="F16" s="41" t="s">
        <v>124</v>
      </c>
      <c r="G16" s="77">
        <f>IF(F16="x",COUNTA($F$2:F16),".")</f>
        <v>11</v>
      </c>
      <c r="H16" s="14" t="str">
        <f t="shared" si="1"/>
        <v>Ils peuvent le voir</v>
      </c>
    </row>
    <row r="17" spans="1:8" x14ac:dyDescent="0.25">
      <c r="A17" s="75"/>
      <c r="B17" s="38" t="s">
        <v>286</v>
      </c>
      <c r="C17" s="63"/>
      <c r="D17" s="93"/>
      <c r="E17" s="63"/>
      <c r="F17" s="41"/>
      <c r="G17" s="77" t="str">
        <f>IF(F17="x",COUNTA($F$2:F17),".")</f>
        <v>.</v>
      </c>
      <c r="H17" s="14" t="str">
        <f t="shared" si="1"/>
        <v>---</v>
      </c>
    </row>
    <row r="18" spans="1:8" x14ac:dyDescent="0.25">
      <c r="A18" s="75"/>
      <c r="B18" s="38" t="s">
        <v>262</v>
      </c>
      <c r="C18" s="63"/>
      <c r="D18" s="93"/>
      <c r="E18" s="63"/>
      <c r="F18" s="41"/>
      <c r="G18" s="77" t="str">
        <f>IF(F18="x",COUNTA($F$2:F18),".")</f>
        <v>.</v>
      </c>
      <c r="H18" s="14" t="str">
        <f t="shared" si="1"/>
        <v>---</v>
      </c>
    </row>
    <row r="19" spans="1:8" x14ac:dyDescent="0.25">
      <c r="A19" s="75"/>
      <c r="B19" s="87" t="s">
        <v>314</v>
      </c>
      <c r="C19" s="63"/>
      <c r="D19" s="93"/>
      <c r="E19" s="63"/>
      <c r="F19" s="41"/>
      <c r="G19" s="77" t="str">
        <f>IF(F19="x",COUNTA($F$2:F19),".")</f>
        <v>.</v>
      </c>
      <c r="H19" s="14" t="str">
        <f t="shared" si="1"/>
        <v>---</v>
      </c>
    </row>
    <row r="20" spans="1:8" x14ac:dyDescent="0.25">
      <c r="A20" s="75"/>
      <c r="B20" s="87" t="s">
        <v>321</v>
      </c>
      <c r="C20" s="63"/>
      <c r="D20" s="93"/>
      <c r="E20" s="63"/>
      <c r="F20" s="41" t="s">
        <v>124</v>
      </c>
      <c r="G20" s="77">
        <f>IF(F20="x",COUNTA($F$2:F20),".")</f>
        <v>12</v>
      </c>
      <c r="H20" s="14" t="str">
        <f t="shared" si="1"/>
        <v>On peut voir tout Paris</v>
      </c>
    </row>
    <row r="21" spans="1:8" x14ac:dyDescent="0.25">
      <c r="A21" s="75"/>
      <c r="B21" s="87" t="s">
        <v>331</v>
      </c>
      <c r="C21" s="63"/>
      <c r="D21" s="93"/>
      <c r="E21" s="63"/>
      <c r="F21" s="41" t="s">
        <v>124</v>
      </c>
      <c r="G21" s="77">
        <f>IF(F21="x",COUNTA($F$2:F21),".")</f>
        <v>13</v>
      </c>
      <c r="H21" s="14" t="str">
        <f t="shared" si="1"/>
        <v>Tu peux voir ma voiture?</v>
      </c>
    </row>
    <row r="22" spans="1:8" x14ac:dyDescent="0.25">
      <c r="A22" s="75"/>
      <c r="B22" s="87" t="s">
        <v>332</v>
      </c>
      <c r="C22" s="63"/>
      <c r="D22" s="93"/>
      <c r="E22" s="63"/>
      <c r="F22" s="41" t="s">
        <v>124</v>
      </c>
      <c r="G22" s="77">
        <f>IF(F22="x",COUNTA($F$2:F22),".")</f>
        <v>14</v>
      </c>
      <c r="H22" s="14" t="str">
        <f t="shared" si="1"/>
        <v>Non, elle est où?</v>
      </c>
    </row>
    <row r="23" spans="1:8" x14ac:dyDescent="0.25">
      <c r="A23" s="75"/>
      <c r="B23" s="87" t="s">
        <v>333</v>
      </c>
      <c r="C23" s="63" t="s">
        <v>294</v>
      </c>
      <c r="D23" s="93"/>
      <c r="E23" s="63"/>
      <c r="F23" s="41" t="s">
        <v>124</v>
      </c>
      <c r="G23" s="77">
        <f>IF(F23="x",COUNTA($F$2:F23),".")</f>
        <v>15</v>
      </c>
      <c r="H23" s="14" t="str">
        <f t="shared" si="1"/>
        <v>Ici, tu peux la voir?</v>
      </c>
    </row>
    <row r="24" spans="1:8" x14ac:dyDescent="0.25">
      <c r="A24" s="75"/>
      <c r="B24" s="87" t="s">
        <v>334</v>
      </c>
      <c r="C24" s="63"/>
      <c r="D24" s="93"/>
      <c r="E24" s="63"/>
      <c r="F24" s="41"/>
      <c r="G24" s="77" t="str">
        <f>IF(F24="x",COUNTA($F$2:F24),".")</f>
        <v>.</v>
      </c>
      <c r="H24" s="14" t="str">
        <f t="shared" si="1"/>
        <v>---</v>
      </c>
    </row>
    <row r="25" spans="1:8" x14ac:dyDescent="0.25">
      <c r="A25" s="75"/>
      <c r="B25" s="87" t="s">
        <v>322</v>
      </c>
      <c r="C25" s="63"/>
      <c r="D25" s="93"/>
      <c r="E25" s="63"/>
      <c r="F25" s="41" t="s">
        <v>124</v>
      </c>
      <c r="G25" s="77">
        <f>IF(F25="x",COUNTA($F$2:F25),".")</f>
        <v>16</v>
      </c>
      <c r="H25" s="14" t="str">
        <f t="shared" si="1"/>
        <v>Tu peux voir le restau?</v>
      </c>
    </row>
    <row r="26" spans="1:8" x14ac:dyDescent="0.25">
      <c r="A26" s="75"/>
      <c r="B26" s="87" t="s">
        <v>348</v>
      </c>
      <c r="C26" s="63" t="s">
        <v>295</v>
      </c>
      <c r="D26" s="93"/>
      <c r="E26" s="63"/>
      <c r="F26" s="41"/>
      <c r="G26" s="77" t="str">
        <f>IF(F26="x",COUNTA($F$2:F26),".")</f>
        <v>.</v>
      </c>
      <c r="H26" s="14" t="str">
        <f t="shared" si="1"/>
        <v>---</v>
      </c>
    </row>
    <row r="27" spans="1:8" x14ac:dyDescent="0.25">
      <c r="A27" s="75"/>
      <c r="B27" s="87" t="s">
        <v>323</v>
      </c>
      <c r="C27" s="63"/>
      <c r="D27" s="93"/>
      <c r="E27" s="63"/>
      <c r="F27" s="41" t="s">
        <v>124</v>
      </c>
      <c r="G27" s="77">
        <f>IF(F27="x",COUNTA($F$2:F27),".")</f>
        <v>17</v>
      </c>
      <c r="H27" s="14" t="str">
        <f t="shared" si="1"/>
        <v>Non, il est où?</v>
      </c>
    </row>
    <row r="28" spans="1:8" x14ac:dyDescent="0.25">
      <c r="A28" s="75"/>
      <c r="B28" s="87" t="s">
        <v>324</v>
      </c>
      <c r="C28" s="63"/>
      <c r="D28" s="93"/>
      <c r="E28" s="63"/>
      <c r="F28" s="41"/>
      <c r="G28" s="77" t="str">
        <f>IF(F28="x",COUNTA($F$2:F28),".")</f>
        <v>.</v>
      </c>
      <c r="H28" s="14" t="str">
        <f t="shared" si="1"/>
        <v>---</v>
      </c>
    </row>
    <row r="29" spans="1:8" x14ac:dyDescent="0.25">
      <c r="A29" s="75"/>
      <c r="B29" s="87" t="s">
        <v>325</v>
      </c>
      <c r="C29" s="63"/>
      <c r="D29" s="93"/>
      <c r="E29" s="63"/>
      <c r="F29" s="41" t="s">
        <v>124</v>
      </c>
      <c r="G29" s="77">
        <f>IF(F29="x",COUNTA($F$2:F29),".")</f>
        <v>18</v>
      </c>
      <c r="H29" s="14" t="str">
        <f t="shared" si="1"/>
        <v>Il est là-bas</v>
      </c>
    </row>
    <row r="30" spans="1:8" x14ac:dyDescent="0.25">
      <c r="A30" s="75"/>
      <c r="B30" s="87" t="s">
        <v>326</v>
      </c>
      <c r="C30" s="63"/>
      <c r="D30" s="93"/>
      <c r="E30" s="63"/>
      <c r="F30" s="41" t="s">
        <v>124</v>
      </c>
      <c r="G30" s="77">
        <f>IF(F30="x",COUNTA($F$2:F30),".")</f>
        <v>19</v>
      </c>
      <c r="H30" s="14" t="str">
        <f t="shared" si="1"/>
        <v>On peut déjeuner là-bas</v>
      </c>
    </row>
    <row r="31" spans="1:8" x14ac:dyDescent="0.25">
      <c r="A31" s="75"/>
      <c r="B31" s="87" t="s">
        <v>327</v>
      </c>
      <c r="C31" s="63"/>
      <c r="D31" s="93"/>
      <c r="E31" s="63"/>
      <c r="F31" s="41" t="s">
        <v>124</v>
      </c>
      <c r="G31" s="77">
        <f>IF(F31="x",COUNTA($F$2:F31),".")</f>
        <v>20</v>
      </c>
      <c r="H31" s="14" t="str">
        <f t="shared" si="1"/>
        <v>Maintenant?</v>
      </c>
    </row>
    <row r="32" spans="1:8" x14ac:dyDescent="0.25">
      <c r="A32" s="75"/>
      <c r="B32" s="87" t="s">
        <v>328</v>
      </c>
      <c r="C32" s="63"/>
      <c r="D32" s="93"/>
      <c r="E32" s="63"/>
      <c r="F32" s="41" t="s">
        <v>124</v>
      </c>
      <c r="G32" s="77">
        <f>IF(F32="x",COUNTA($F$2:F32),".")</f>
        <v>21</v>
      </c>
      <c r="H32" s="14" t="str">
        <f t="shared" si="1"/>
        <v>Non, pas maintenant!</v>
      </c>
    </row>
    <row r="33" spans="1:8" x14ac:dyDescent="0.25">
      <c r="A33" s="75"/>
      <c r="B33" s="87" t="s">
        <v>329</v>
      </c>
      <c r="C33" s="63" t="s">
        <v>296</v>
      </c>
      <c r="D33" s="93"/>
      <c r="E33" s="63"/>
      <c r="F33" s="41" t="s">
        <v>124</v>
      </c>
      <c r="G33" s="77">
        <f>IF(F33="x",COUNTA($F$2:F33),".")</f>
        <v>22</v>
      </c>
      <c r="H33" s="14" t="str">
        <f t="shared" si="1"/>
        <v>Maintenant, on peut prendre le petit-déjeuner</v>
      </c>
    </row>
    <row r="34" spans="1:8" s="105" customFormat="1" x14ac:dyDescent="0.25">
      <c r="A34" s="95"/>
      <c r="B34" s="104" t="s">
        <v>330</v>
      </c>
      <c r="C34" s="97"/>
      <c r="D34" s="98"/>
      <c r="E34" s="97"/>
      <c r="F34" s="99" t="s">
        <v>124</v>
      </c>
      <c r="G34" s="100">
        <f>IF(F34="x",COUNTA($F$2:F34),".")</f>
        <v>23</v>
      </c>
      <c r="H34" s="101" t="str">
        <f t="shared" si="1"/>
        <v>C'est délicieux!</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A1DE-6573-4A32-9CC7-B0A553D2E3C9}">
  <dimension ref="A1:K25"/>
  <sheetViews>
    <sheetView workbookViewId="0">
      <pane ySplit="1" topLeftCell="A2" activePane="bottomLeft" state="frozen"/>
      <selection pane="bottomLeft" activeCell="B16" sqref="B16"/>
    </sheetView>
  </sheetViews>
  <sheetFormatPr defaultRowHeight="15" x14ac:dyDescent="0.25"/>
  <cols>
    <col min="1" max="1" width="9.140625" style="6"/>
    <col min="2" max="2" width="91" customWidth="1"/>
    <col min="3" max="3" width="67.42578125" bestFit="1" customWidth="1"/>
    <col min="4" max="4" width="12.7109375" style="6" bestFit="1" customWidth="1"/>
    <col min="5" max="5" width="12.1406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5" t="s">
        <v>165</v>
      </c>
      <c r="B1" s="33" t="s">
        <v>121</v>
      </c>
      <c r="C1" s="23" t="s">
        <v>1</v>
      </c>
      <c r="D1" s="23" t="s">
        <v>285</v>
      </c>
      <c r="E1" s="23" t="s">
        <v>130</v>
      </c>
      <c r="F1" s="23" t="s">
        <v>122</v>
      </c>
      <c r="G1" s="23" t="s">
        <v>284</v>
      </c>
      <c r="H1" s="67"/>
      <c r="K1" s="58"/>
    </row>
    <row r="2" spans="1:11" x14ac:dyDescent="0.25">
      <c r="A2" s="75"/>
      <c r="B2" s="102" t="s">
        <v>356</v>
      </c>
      <c r="C2" s="103" t="s">
        <v>389</v>
      </c>
      <c r="D2" s="93"/>
      <c r="E2" s="63"/>
      <c r="F2" s="41"/>
      <c r="G2" s="77" t="str">
        <f>IF(F2="x",COUNTA($F$2:F2),".")</f>
        <v>.</v>
      </c>
      <c r="H2" s="14" t="str">
        <f t="shared" ref="H2:H24" si="0">IF(F2="x",B2,"---")</f>
        <v>---</v>
      </c>
    </row>
    <row r="3" spans="1:11" x14ac:dyDescent="0.25">
      <c r="A3" s="75"/>
      <c r="B3" s="87" t="s">
        <v>373</v>
      </c>
      <c r="C3" s="63"/>
      <c r="D3" s="93"/>
      <c r="E3" s="63" t="s">
        <v>41</v>
      </c>
      <c r="F3" s="41" t="s">
        <v>124</v>
      </c>
      <c r="G3" s="77">
        <f>IF(F3="x",COUNTA($F$2:F3),".")</f>
        <v>1</v>
      </c>
      <c r="H3" s="14" t="str">
        <f t="shared" si="0"/>
        <v>Tu as déjeuné avec ton amie</v>
      </c>
    </row>
    <row r="4" spans="1:11" x14ac:dyDescent="0.25">
      <c r="A4" s="75"/>
      <c r="B4" s="87" t="s">
        <v>374</v>
      </c>
      <c r="C4" s="63"/>
      <c r="D4" s="93"/>
      <c r="E4" s="63" t="s">
        <v>394</v>
      </c>
      <c r="F4" s="41" t="s">
        <v>124</v>
      </c>
      <c r="G4" s="77">
        <f>IF(F4="x",COUNTA($F$2:F4),".")</f>
        <v>2</v>
      </c>
      <c r="H4" s="14" t="str">
        <f t="shared" si="0"/>
        <v>Le retaurant, en France, c'est délicieux, mais c'est très cher!</v>
      </c>
    </row>
    <row r="5" spans="1:11" x14ac:dyDescent="0.25">
      <c r="A5" s="75"/>
      <c r="B5" s="38" t="s">
        <v>375</v>
      </c>
      <c r="C5" s="63"/>
      <c r="D5" s="93"/>
      <c r="E5" s="63" t="s">
        <v>390</v>
      </c>
      <c r="F5" s="41" t="s">
        <v>124</v>
      </c>
      <c r="G5" s="77">
        <f>IF(F5="x",COUNTA($F$2:F5),".")</f>
        <v>3</v>
      </c>
      <c r="H5" s="14" t="str">
        <f t="shared" si="0"/>
        <v>Tu as acheté à manger avec mon amie pour le diner</v>
      </c>
    </row>
    <row r="6" spans="1:11" x14ac:dyDescent="0.25">
      <c r="A6" s="75"/>
      <c r="B6" s="38" t="s">
        <v>376</v>
      </c>
      <c r="C6" s="63"/>
      <c r="D6" s="93"/>
      <c r="E6" s="63"/>
      <c r="F6" s="41" t="s">
        <v>124</v>
      </c>
      <c r="G6" s="77">
        <f>IF(F6="x",COUNTA($F$2:F6),".")</f>
        <v>4</v>
      </c>
      <c r="H6" s="14" t="str">
        <f t="shared" si="0"/>
        <v>Tu as diné avec ton amie</v>
      </c>
    </row>
    <row r="7" spans="1:11" x14ac:dyDescent="0.25">
      <c r="A7" s="75"/>
      <c r="B7" s="38" t="s">
        <v>377</v>
      </c>
      <c r="C7" s="63"/>
      <c r="D7" s="93"/>
      <c r="E7" s="63" t="s">
        <v>391</v>
      </c>
      <c r="F7" s="62" t="s">
        <v>124</v>
      </c>
      <c r="G7" s="77">
        <f>IF(F7="x",COUNTA($F$2:F7),".")</f>
        <v>5</v>
      </c>
      <c r="H7" s="14" t="str">
        <f t="shared" si="0"/>
        <v>Ce soir, vous avez mangé à la maison</v>
      </c>
    </row>
    <row r="8" spans="1:11" x14ac:dyDescent="0.25">
      <c r="A8" s="75"/>
      <c r="B8" s="38" t="s">
        <v>378</v>
      </c>
      <c r="C8" s="63"/>
      <c r="D8" s="93"/>
      <c r="E8" s="63"/>
      <c r="F8" s="41" t="s">
        <v>124</v>
      </c>
      <c r="G8" s="77">
        <f>IF(F8="x",COUNTA($F$2:F8),".")</f>
        <v>6</v>
      </c>
      <c r="H8" s="14" t="str">
        <f t="shared" si="0"/>
        <v>Je peux préparer à manger pour toi</v>
      </c>
    </row>
    <row r="9" spans="1:11" x14ac:dyDescent="0.25">
      <c r="A9" s="75"/>
      <c r="B9" s="38" t="s">
        <v>379</v>
      </c>
      <c r="C9" s="63"/>
      <c r="D9" s="93"/>
      <c r="E9" s="63"/>
      <c r="F9" s="41" t="s">
        <v>124</v>
      </c>
      <c r="G9" s="77">
        <f>IF(F9="x",COUNTA($F$2:F9),".")</f>
        <v>7</v>
      </c>
      <c r="H9" s="14" t="str">
        <f t="shared" si="0"/>
        <v>Super, merci!</v>
      </c>
    </row>
    <row r="10" spans="1:11" x14ac:dyDescent="0.25">
      <c r="A10" s="75"/>
      <c r="B10" s="38" t="s">
        <v>380</v>
      </c>
      <c r="C10" s="63"/>
      <c r="D10" s="93"/>
      <c r="E10" s="63"/>
      <c r="F10" s="41" t="s">
        <v>124</v>
      </c>
      <c r="G10" s="77">
        <f>IF(F10="x",COUNTA($F$2:F10),".")</f>
        <v>8</v>
      </c>
      <c r="H10" s="14" t="str">
        <f t="shared" si="0"/>
        <v>C'est quoi?</v>
      </c>
    </row>
    <row r="11" spans="1:11" x14ac:dyDescent="0.25">
      <c r="A11" s="75"/>
      <c r="B11" s="38" t="s">
        <v>335</v>
      </c>
      <c r="C11" s="63"/>
      <c r="D11" s="93"/>
      <c r="E11" s="63"/>
      <c r="F11" s="41" t="s">
        <v>124</v>
      </c>
      <c r="G11" s="77">
        <f>IF(F11="x",COUNTA($F$2:F11),".")</f>
        <v>9</v>
      </c>
      <c r="H11" s="14" t="str">
        <f t="shared" si="0"/>
        <v>Tu as un chien?</v>
      </c>
    </row>
    <row r="12" spans="1:11" x14ac:dyDescent="0.25">
      <c r="A12" s="75"/>
      <c r="B12" s="38" t="s">
        <v>336</v>
      </c>
      <c r="C12" s="63"/>
      <c r="D12" s="93"/>
      <c r="E12" s="63"/>
      <c r="F12" s="41"/>
      <c r="G12" s="77" t="str">
        <f>IF(F12="x",COUNTA($F$2:F12),".")</f>
        <v>.</v>
      </c>
      <c r="H12" s="14" t="str">
        <f t="shared" si="0"/>
        <v>---</v>
      </c>
    </row>
    <row r="13" spans="1:11" x14ac:dyDescent="0.25">
      <c r="A13" s="75"/>
      <c r="B13" s="38" t="s">
        <v>339</v>
      </c>
      <c r="C13" s="63"/>
      <c r="D13" s="93"/>
      <c r="E13" s="63"/>
      <c r="F13" s="41" t="s">
        <v>124</v>
      </c>
      <c r="G13" s="77">
        <f>IF(F13="x",COUNTA($F$2:F13),".")</f>
        <v>10</v>
      </c>
      <c r="H13" s="14" t="str">
        <f t="shared" si="0"/>
        <v>Où est-il?</v>
      </c>
    </row>
    <row r="14" spans="1:11" x14ac:dyDescent="0.25">
      <c r="A14" s="75"/>
      <c r="B14" s="38" t="s">
        <v>291</v>
      </c>
      <c r="C14" s="63"/>
      <c r="D14" s="93"/>
      <c r="E14" s="63"/>
      <c r="F14" s="41"/>
      <c r="G14" s="77" t="str">
        <f>IF(F14="x",COUNTA($F$2:F14),".")</f>
        <v>.</v>
      </c>
      <c r="H14" s="14" t="str">
        <f t="shared" si="0"/>
        <v>---</v>
      </c>
    </row>
    <row r="15" spans="1:11" x14ac:dyDescent="0.25">
      <c r="A15" s="75"/>
      <c r="B15" s="38" t="s">
        <v>337</v>
      </c>
      <c r="C15" s="63"/>
      <c r="D15" s="93"/>
      <c r="E15" s="63"/>
      <c r="F15" s="41" t="s">
        <v>124</v>
      </c>
      <c r="G15" s="77">
        <f>IF(F15="x",COUNTA($F$2:F15),".")</f>
        <v>11</v>
      </c>
      <c r="H15" s="14" t="str">
        <f t="shared" si="0"/>
        <v>Est-ce que je peux le voir?</v>
      </c>
    </row>
    <row r="16" spans="1:11" x14ac:dyDescent="0.25">
      <c r="A16" s="75"/>
      <c r="B16" s="38" t="s">
        <v>338</v>
      </c>
      <c r="C16" s="63"/>
      <c r="D16" s="93"/>
      <c r="E16" s="63" t="s">
        <v>392</v>
      </c>
      <c r="F16" s="41"/>
      <c r="G16" s="77" t="str">
        <f>IF(F16="x",COUNTA($F$2:F16),".")</f>
        <v>.</v>
      </c>
      <c r="H16" s="14" t="str">
        <f t="shared" si="0"/>
        <v>---</v>
      </c>
    </row>
    <row r="17" spans="1:8" x14ac:dyDescent="0.25">
      <c r="A17" s="75"/>
      <c r="B17" s="38" t="s">
        <v>340</v>
      </c>
      <c r="C17" s="63"/>
      <c r="D17" s="93"/>
      <c r="E17" s="63"/>
      <c r="F17" s="41" t="s">
        <v>124</v>
      </c>
      <c r="G17" s="77">
        <f>IF(F17="x",COUNTA($F$2:F17),".")</f>
        <v>12</v>
      </c>
      <c r="H17" s="14" t="str">
        <f t="shared" si="0"/>
        <v>Il est ici</v>
      </c>
    </row>
    <row r="18" spans="1:8" x14ac:dyDescent="0.25">
      <c r="A18" s="75"/>
      <c r="B18" s="38" t="s">
        <v>341</v>
      </c>
      <c r="C18" s="63"/>
      <c r="D18" s="93"/>
      <c r="E18" s="63"/>
      <c r="F18" s="41" t="s">
        <v>124</v>
      </c>
      <c r="G18" s="77">
        <f>IF(F18="x",COUNTA($F$2:F18),".")</f>
        <v>13</v>
      </c>
      <c r="H18" s="14" t="str">
        <f t="shared" si="0"/>
        <v>Il est mignon !</v>
      </c>
    </row>
    <row r="19" spans="1:8" x14ac:dyDescent="0.25">
      <c r="A19" s="75"/>
      <c r="B19" s="38" t="s">
        <v>342</v>
      </c>
      <c r="C19" s="63"/>
      <c r="D19" s="93"/>
      <c r="E19" s="63"/>
      <c r="F19" s="41" t="s">
        <v>124</v>
      </c>
      <c r="G19" s="77">
        <f>IF(F19="x",COUNTA($F$2:F19),".")</f>
        <v>14</v>
      </c>
      <c r="H19" s="14" t="str">
        <f t="shared" si="0"/>
        <v>C'est quoi son nom?</v>
      </c>
    </row>
    <row r="20" spans="1:8" x14ac:dyDescent="0.25">
      <c r="A20" s="75"/>
      <c r="B20" s="38" t="s">
        <v>343</v>
      </c>
      <c r="C20" s="63"/>
      <c r="D20" s="93"/>
      <c r="E20" s="63"/>
      <c r="F20" s="41" t="s">
        <v>124</v>
      </c>
      <c r="G20" s="77">
        <f>IF(F20="x",COUNTA($F$2:F20),".")</f>
        <v>15</v>
      </c>
      <c r="H20" s="14" t="str">
        <f t="shared" si="0"/>
        <v>Son nom c'est Biscuit</v>
      </c>
    </row>
    <row r="21" spans="1:8" x14ac:dyDescent="0.25">
      <c r="A21" s="75"/>
      <c r="B21" s="38" t="s">
        <v>344</v>
      </c>
      <c r="C21" s="63"/>
      <c r="D21" s="93"/>
      <c r="E21" s="63"/>
      <c r="F21" s="41" t="s">
        <v>124</v>
      </c>
      <c r="G21" s="77">
        <f>IF(F21="x",COUNTA($F$2:F21),".")</f>
        <v>16</v>
      </c>
      <c r="H21" s="14" t="str">
        <f t="shared" si="0"/>
        <v>Bonjour Biscuit, moi c'est Nga</v>
      </c>
    </row>
    <row r="22" spans="1:8" x14ac:dyDescent="0.25">
      <c r="A22" s="75"/>
      <c r="B22" s="38" t="s">
        <v>345</v>
      </c>
      <c r="C22" s="63"/>
      <c r="D22" s="93"/>
      <c r="E22" s="63"/>
      <c r="F22" s="41" t="s">
        <v>124</v>
      </c>
      <c r="G22" s="77">
        <f>IF(F22="x",COUNTA($F$2:F22),".")</f>
        <v>17</v>
      </c>
      <c r="H22" s="14" t="str">
        <f t="shared" si="0"/>
        <v>N-G-A</v>
      </c>
    </row>
    <row r="23" spans="1:8" x14ac:dyDescent="0.25">
      <c r="A23" s="75"/>
      <c r="B23" s="38" t="s">
        <v>346</v>
      </c>
      <c r="C23" s="70"/>
      <c r="D23" s="93"/>
      <c r="E23" s="63"/>
      <c r="F23" s="41" t="s">
        <v>124</v>
      </c>
      <c r="G23" s="77">
        <f>IF(F23="x",COUNTA($F$2:F23),".")</f>
        <v>18</v>
      </c>
      <c r="H23" s="14" t="str">
        <f t="shared" si="0"/>
        <v>Oh, c'est un nom exotique</v>
      </c>
    </row>
    <row r="24" spans="1:8" x14ac:dyDescent="0.25">
      <c r="A24" s="95"/>
      <c r="B24" s="96" t="s">
        <v>347</v>
      </c>
      <c r="C24" s="97"/>
      <c r="D24" s="98"/>
      <c r="E24" s="97"/>
      <c r="F24" s="99" t="s">
        <v>124</v>
      </c>
      <c r="G24" s="100">
        <f>IF(F24="x",COUNTA($F$2:F24),".")</f>
        <v>19</v>
      </c>
      <c r="H24" s="101" t="str">
        <f t="shared" si="0"/>
        <v>Oui, c'est Vietnamien</v>
      </c>
    </row>
    <row r="25" spans="1:8" ht="15.75" thickBot="1" x14ac:dyDescent="0.3">
      <c r="A25" s="76"/>
      <c r="B25" s="84" t="s">
        <v>381</v>
      </c>
      <c r="C25" s="66"/>
      <c r="D25" s="94"/>
      <c r="E25" s="66" t="s">
        <v>393</v>
      </c>
      <c r="F25" s="43" t="s">
        <v>124</v>
      </c>
      <c r="G25" s="78">
        <f>IF(F25="x",COUNTA($F$2:F25),".")</f>
        <v>20</v>
      </c>
      <c r="H25" s="20" t="str">
        <f>IF(F25="x",B25,"---")</f>
        <v>Ton chien peux manger du chocolat?</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7E28-9B6D-4122-8B24-F2069C45441D}">
  <dimension ref="A1:K56"/>
  <sheetViews>
    <sheetView workbookViewId="0">
      <pane ySplit="1" topLeftCell="A5" activePane="bottomLeft" state="frozen"/>
      <selection pane="bottomLeft" activeCell="B30" sqref="B30"/>
    </sheetView>
  </sheetViews>
  <sheetFormatPr defaultRowHeight="15" x14ac:dyDescent="0.25"/>
  <cols>
    <col min="1" max="1" width="9.140625" style="6"/>
    <col min="2" max="2" width="91" customWidth="1"/>
    <col min="3" max="3" width="67.42578125" bestFit="1" customWidth="1"/>
    <col min="4" max="4" width="12.7109375" style="6" bestFit="1" customWidth="1"/>
    <col min="5" max="5" width="12.1406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5" t="s">
        <v>165</v>
      </c>
      <c r="B1" s="33" t="s">
        <v>121</v>
      </c>
      <c r="C1" s="23" t="s">
        <v>1</v>
      </c>
      <c r="D1" s="23" t="s">
        <v>707</v>
      </c>
      <c r="E1" s="23" t="s">
        <v>130</v>
      </c>
      <c r="F1" s="23" t="s">
        <v>122</v>
      </c>
      <c r="G1" s="23" t="s">
        <v>284</v>
      </c>
      <c r="H1" s="67"/>
      <c r="K1" s="58"/>
    </row>
    <row r="2" spans="1:11" x14ac:dyDescent="0.25">
      <c r="A2" s="74"/>
      <c r="B2" s="115" t="s">
        <v>388</v>
      </c>
      <c r="C2" s="116" t="s">
        <v>309</v>
      </c>
      <c r="D2" s="92"/>
      <c r="E2" s="64"/>
      <c r="F2" s="57"/>
      <c r="G2" s="79" t="str">
        <f>IF(OR(F2="x",F2="x1",F2="x2",F2="x3",F2="x1'"),COUNTA($F$2:F2),".")</f>
        <v>.</v>
      </c>
      <c r="H2" s="46" t="str">
        <f t="shared" ref="H2:H9" si="0">IF(F2="x",B2,IF(AND(F2="x1",F3="x2",F4="x3"),"~ "&amp;B2&amp;CHAR(10)&amp;"~ "&amp;B3&amp;CHAR(10)&amp;"~ "&amp;B4,IF(AND(F2="x1",F3="x2"),"~ "&amp;B2&amp;CHAR(10)&amp;"~ "&amp;B3,IF(AND(F2="x1",F3="x1'"),B2&amp;" "&amp;B3,"---"))))</f>
        <v>---</v>
      </c>
    </row>
    <row r="3" spans="1:11" x14ac:dyDescent="0.25">
      <c r="A3" s="75" t="s">
        <v>398</v>
      </c>
      <c r="B3" s="85" t="s">
        <v>381</v>
      </c>
      <c r="C3" s="63"/>
      <c r="D3" s="93"/>
      <c r="E3" s="63"/>
      <c r="F3" s="41"/>
      <c r="G3" s="77" t="str">
        <f>IF(OR(F3="x",F3="x1",F3="x2",F3="x3",F3="x1'"),COUNTA($F$2:F3),".")</f>
        <v>.</v>
      </c>
      <c r="H3" s="14" t="str">
        <f t="shared" si="0"/>
        <v>---</v>
      </c>
    </row>
    <row r="4" spans="1:11" x14ac:dyDescent="0.25">
      <c r="A4" s="75"/>
      <c r="B4" s="38" t="s">
        <v>382</v>
      </c>
      <c r="C4" s="63"/>
      <c r="D4" s="93"/>
      <c r="E4" s="63"/>
      <c r="F4" s="41"/>
      <c r="G4" s="77" t="str">
        <f>IF(OR(F4="x",F4="x1",F4="x2",F4="x3",F4="x1'"),COUNTA($F$2:F4),".")</f>
        <v>.</v>
      </c>
      <c r="H4" s="14" t="str">
        <f t="shared" si="0"/>
        <v>---</v>
      </c>
    </row>
    <row r="5" spans="1:11" x14ac:dyDescent="0.25">
      <c r="A5" s="75"/>
      <c r="B5" s="38" t="s">
        <v>383</v>
      </c>
      <c r="C5" s="63"/>
      <c r="D5" s="93"/>
      <c r="E5" s="63" t="s">
        <v>399</v>
      </c>
      <c r="F5" s="41" t="s">
        <v>124</v>
      </c>
      <c r="G5" s="77">
        <f>IF(OR(F5="x",F5="x1",F5="x2",F5="x3",F5="x1'"),COUNTA($F$2:F5),".")</f>
        <v>1</v>
      </c>
      <c r="H5" s="14" t="str">
        <f t="shared" si="0"/>
        <v>C'est dangereux</v>
      </c>
    </row>
    <row r="6" spans="1:11" x14ac:dyDescent="0.25">
      <c r="A6" s="75"/>
      <c r="B6" s="38" t="s">
        <v>425</v>
      </c>
      <c r="C6" s="63" t="s">
        <v>402</v>
      </c>
      <c r="D6" s="93"/>
      <c r="E6" s="63"/>
      <c r="F6" s="41"/>
      <c r="G6" s="77" t="str">
        <f>IF(OR(F6="x",F6="x1",F6="x2",F6="x3",F6="x1'"),COUNTA($F$2:F6),".")</f>
        <v>.</v>
      </c>
      <c r="H6" s="14" t="str">
        <f t="shared" si="0"/>
        <v>---</v>
      </c>
    </row>
    <row r="7" spans="1:11" x14ac:dyDescent="0.25">
      <c r="A7" s="75"/>
      <c r="B7" s="38" t="s">
        <v>426</v>
      </c>
      <c r="C7" s="63"/>
      <c r="D7" s="93"/>
      <c r="E7" s="63"/>
      <c r="F7" s="41" t="s">
        <v>124</v>
      </c>
      <c r="G7" s="77">
        <f>IF(OR(F7="x",F7="x1",F7="x2",F7="x3",F7="x1'"),COUNTA($F$2:F7),".")</f>
        <v>2</v>
      </c>
      <c r="H7" s="14" t="str">
        <f t="shared" si="0"/>
        <v>Ah, on peut acheter des croissants pour Biscuit</v>
      </c>
    </row>
    <row r="8" spans="1:11" x14ac:dyDescent="0.25">
      <c r="A8" s="75"/>
      <c r="B8" s="102" t="s">
        <v>403</v>
      </c>
      <c r="C8" s="63"/>
      <c r="D8" s="93" t="s">
        <v>717</v>
      </c>
      <c r="E8" s="63" t="s">
        <v>404</v>
      </c>
      <c r="F8" s="41" t="s">
        <v>124</v>
      </c>
      <c r="G8" s="77">
        <f>IF(OR(F8="x",F8="x1",F8="x2",F8="x3",F8="x1'"),COUNTA($F$2:F8),".")</f>
        <v>3</v>
      </c>
      <c r="H8" s="14" t="str">
        <f t="shared" si="0"/>
        <v>On peut en acheter maintenant?</v>
      </c>
    </row>
    <row r="9" spans="1:11" x14ac:dyDescent="0.25">
      <c r="A9" s="75" t="s">
        <v>405</v>
      </c>
      <c r="B9" s="7" t="s">
        <v>261</v>
      </c>
      <c r="C9" s="63"/>
      <c r="D9" s="93"/>
      <c r="E9" s="63"/>
      <c r="F9" s="41"/>
      <c r="G9" s="77" t="str">
        <f>IF(OR(F9="x",F9="x1",F9="x2",F9="x3",F9="x1'"),COUNTA($F$2:F9),".")</f>
        <v>.</v>
      </c>
      <c r="H9" s="14" t="str">
        <f t="shared" si="0"/>
        <v>---</v>
      </c>
    </row>
    <row r="10" spans="1:11" x14ac:dyDescent="0.25">
      <c r="A10" s="75"/>
      <c r="B10" s="7" t="s">
        <v>406</v>
      </c>
      <c r="C10" s="63"/>
      <c r="D10" s="93"/>
      <c r="E10" s="63"/>
      <c r="F10" s="41" t="s">
        <v>396</v>
      </c>
      <c r="G10" s="77">
        <f>IF(OR(F10="x",F10="x1",F10="x2",F10="x3",F10="x1'"),COUNTA($F$2:F10),".")</f>
        <v>4</v>
      </c>
      <c r="H10" s="14" t="str">
        <f>IF(F10="x",B10,IF(AND(F10="x1",F11="x2",F12="x3"),"~ "&amp;B10&amp;CHAR(10)&amp;"~ "&amp;B11&amp;CHAR(10)&amp;"~ "&amp;B12,IF(AND(F10="x1",F11="x2"),"~ "&amp;B10&amp;CHAR(10)&amp;"~ "&amp;B11,IF(AND(F10="x1",F11="x1'"),B10&amp;" "&amp;B11,"---"))))</f>
        <v>~ Je peux en manger?
~ Oui, tu peux en manger, pas de probleme.</v>
      </c>
    </row>
    <row r="11" spans="1:11" x14ac:dyDescent="0.25">
      <c r="A11" s="75"/>
      <c r="B11" s="7" t="s">
        <v>444</v>
      </c>
      <c r="C11" s="63" t="s">
        <v>297</v>
      </c>
      <c r="D11" s="93"/>
      <c r="E11" s="63"/>
      <c r="F11" s="41" t="s">
        <v>397</v>
      </c>
      <c r="G11" s="77">
        <f>IF(OR(F11="x",F11="x1",F11="x2",F11="x3",F11="x1'"),COUNTA($F$2:F11),".")</f>
        <v>5</v>
      </c>
      <c r="H11" s="14" t="str">
        <f t="shared" ref="H11:H38" si="1">IF(F11="x",B11,IF(AND(F11="x1",F12="x2",F13="x3"),"~ "&amp;B11&amp;CHAR(10)&amp;"~ "&amp;B12&amp;CHAR(10)&amp;"~ "&amp;B13,IF(AND(F11="x1",F12="x2"),"~ "&amp;B11&amp;CHAR(10)&amp;"~ "&amp;B12,IF(AND(F11="x1",F12="x1'"),B11&amp;" "&amp;B12,"---"))))</f>
        <v>---</v>
      </c>
    </row>
    <row r="12" spans="1:11" x14ac:dyDescent="0.25">
      <c r="A12" s="75"/>
      <c r="B12" s="7" t="s">
        <v>442</v>
      </c>
      <c r="C12" s="63"/>
      <c r="D12" s="93"/>
      <c r="E12" s="63" t="s">
        <v>427</v>
      </c>
      <c r="F12" s="41"/>
      <c r="G12" s="77" t="str">
        <f>IF(OR(F12="x",F12="x1",F12="x2",F12="x3",F12="x1'"),COUNTA($F$2:F12),".")</f>
        <v>.</v>
      </c>
      <c r="H12" s="14" t="str">
        <f t="shared" si="1"/>
        <v>---</v>
      </c>
    </row>
    <row r="13" spans="1:11" x14ac:dyDescent="0.25">
      <c r="A13" s="75"/>
      <c r="B13" s="7" t="s">
        <v>443</v>
      </c>
      <c r="C13" s="63"/>
      <c r="D13" s="93"/>
      <c r="E13" s="63" t="s">
        <v>407</v>
      </c>
      <c r="F13" s="41" t="s">
        <v>396</v>
      </c>
      <c r="G13" s="77">
        <f>IF(OR(F13="x",F13="x1",F13="x2",F13="x3",F13="x1'"),COUNTA($F$2:F13),".")</f>
        <v>6</v>
      </c>
      <c r="H13" s="14" t="str">
        <f t="shared" si="1"/>
        <v>~ Il y a des chocolats a la maison.
~ Je veux en prendre.</v>
      </c>
    </row>
    <row r="14" spans="1:11" x14ac:dyDescent="0.25">
      <c r="A14" s="75"/>
      <c r="B14" s="7" t="s">
        <v>442</v>
      </c>
      <c r="C14" s="63"/>
      <c r="D14" s="93"/>
      <c r="E14" s="63"/>
      <c r="F14" s="41" t="s">
        <v>397</v>
      </c>
      <c r="G14" s="77">
        <f>IF(OR(F14="x",F14="x1",F14="x2",F14="x3",F14="x1'"),COUNTA($F$2:F14),".")</f>
        <v>7</v>
      </c>
      <c r="H14" s="14" t="str">
        <f t="shared" si="1"/>
        <v>---</v>
      </c>
    </row>
    <row r="15" spans="1:11" x14ac:dyDescent="0.25">
      <c r="A15" s="75"/>
      <c r="B15" s="7" t="s">
        <v>433</v>
      </c>
      <c r="C15" s="63"/>
      <c r="D15" s="93"/>
      <c r="E15" s="63"/>
      <c r="F15" s="41" t="s">
        <v>396</v>
      </c>
      <c r="G15" s="77">
        <f>IF(OR(F15="x",F15="x1",F15="x2",F15="x3",F15="x1'"),COUNTA($F$2:F15),".")</f>
        <v>8</v>
      </c>
      <c r="H15" s="14" t="str">
        <f t="shared" si="1"/>
        <v>~ Il y a du café?
~ Non, je veux en préprarer.</v>
      </c>
    </row>
    <row r="16" spans="1:11" x14ac:dyDescent="0.25">
      <c r="A16" s="75"/>
      <c r="B16" s="7" t="s">
        <v>441</v>
      </c>
      <c r="C16" s="114"/>
      <c r="D16" s="93"/>
      <c r="E16" s="63"/>
      <c r="F16" s="41" t="s">
        <v>397</v>
      </c>
      <c r="G16" s="77">
        <f>IF(OR(F16="x",F16="x1",F16="x2",F16="x3",F16="x1'"),COUNTA($F$2:F16),".")</f>
        <v>9</v>
      </c>
      <c r="H16" s="14" t="str">
        <f t="shared" si="1"/>
        <v>---</v>
      </c>
    </row>
    <row r="17" spans="1:8" x14ac:dyDescent="0.25">
      <c r="A17" s="75" t="s">
        <v>408</v>
      </c>
      <c r="B17" s="38" t="s">
        <v>409</v>
      </c>
      <c r="C17" s="63"/>
      <c r="D17" s="93"/>
      <c r="E17" s="63"/>
      <c r="F17" s="41"/>
      <c r="G17" s="77" t="str">
        <f>IF(OR(F17="x",F17="x1",F17="x2",F17="x3",F17="x1'"),COUNTA($F$2:F17),".")</f>
        <v>.</v>
      </c>
      <c r="H17" s="14" t="str">
        <f t="shared" si="1"/>
        <v>---</v>
      </c>
    </row>
    <row r="18" spans="1:8" x14ac:dyDescent="0.25">
      <c r="A18" s="75"/>
      <c r="B18" s="38" t="s">
        <v>410</v>
      </c>
      <c r="C18" s="63"/>
      <c r="D18" s="93"/>
      <c r="E18" s="63" t="s">
        <v>411</v>
      </c>
      <c r="F18" s="41" t="s">
        <v>124</v>
      </c>
      <c r="G18" s="77">
        <f>IF(OR(F18="x",F18="x1",F18="x2",F18="x3",F18="x1'"),COUNTA($F$2:F18),".")</f>
        <v>10</v>
      </c>
      <c r="H18" s="14" t="str">
        <f t="shared" si="1"/>
        <v>Je veux manger d'abord.</v>
      </c>
    </row>
    <row r="19" spans="1:8" x14ac:dyDescent="0.25">
      <c r="A19" s="75"/>
      <c r="B19" s="38" t="s">
        <v>413</v>
      </c>
      <c r="C19" s="63"/>
      <c r="D19" s="93"/>
      <c r="E19" s="63"/>
      <c r="F19" s="41" t="s">
        <v>396</v>
      </c>
      <c r="G19" s="77">
        <f>IF(OR(F19="x",F19="x1",F19="x2",F19="x3",F19="x1'"),COUNTA($F$2:F19),".")</f>
        <v>11</v>
      </c>
      <c r="H19" s="14" t="str">
        <f t="shared" si="1"/>
        <v>~ Ah, tu as tres faim, c'est ca?
~ Exactement!</v>
      </c>
    </row>
    <row r="20" spans="1:8" x14ac:dyDescent="0.25">
      <c r="A20" s="95"/>
      <c r="B20" s="96" t="s">
        <v>412</v>
      </c>
      <c r="C20" s="97"/>
      <c r="D20" s="98"/>
      <c r="E20" s="97"/>
      <c r="F20" s="100" t="s">
        <v>397</v>
      </c>
      <c r="G20" s="100">
        <f>IF(OR(F20="x",F20="x1",F20="x2",F20="x3",F20="x1'"),COUNTA($F$2:F20),".")</f>
        <v>12</v>
      </c>
      <c r="H20" s="101" t="str">
        <f t="shared" si="1"/>
        <v>---</v>
      </c>
    </row>
    <row r="21" spans="1:8" x14ac:dyDescent="0.25">
      <c r="A21" s="75"/>
      <c r="B21" s="87" t="s">
        <v>384</v>
      </c>
      <c r="C21" s="63"/>
      <c r="D21" s="93"/>
      <c r="E21" s="63" t="s">
        <v>419</v>
      </c>
      <c r="F21" s="41" t="s">
        <v>396</v>
      </c>
      <c r="G21" s="77">
        <f>IF(OR(F21="x",F21="x1",F21="x2",F21="x3",F21="x1'"),COUNTA($F$2:F21),".")</f>
        <v>13</v>
      </c>
      <c r="H21" s="14" t="str">
        <f t="shared" si="1"/>
        <v>Comment est le diné? C'est bon?</v>
      </c>
    </row>
    <row r="22" spans="1:8" x14ac:dyDescent="0.25">
      <c r="A22" s="75"/>
      <c r="B22" s="87" t="s">
        <v>395</v>
      </c>
      <c r="C22" s="63"/>
      <c r="D22" s="93"/>
      <c r="E22" s="63" t="s">
        <v>418</v>
      </c>
      <c r="F22" s="41" t="s">
        <v>434</v>
      </c>
      <c r="G22" s="77">
        <f>IF(OR(F22="x",F22="x1",F22="x2",F22="x3",F22="x1'"),COUNTA($F$2:F22),".")</f>
        <v>14</v>
      </c>
      <c r="H22" s="113" t="str">
        <f t="shared" si="1"/>
        <v>---</v>
      </c>
    </row>
    <row r="23" spans="1:8" x14ac:dyDescent="0.25">
      <c r="A23" s="75"/>
      <c r="B23" s="87" t="s">
        <v>385</v>
      </c>
      <c r="C23" s="63"/>
      <c r="D23" s="93"/>
      <c r="E23" s="63" t="s">
        <v>400</v>
      </c>
      <c r="F23" s="41" t="s">
        <v>124</v>
      </c>
      <c r="G23" s="77">
        <f>IF(OR(F23="x",F23="x1",F23="x2",F23="x3",F23="x1'"),COUNTA($F$2:F23),".")</f>
        <v>15</v>
      </c>
      <c r="H23" s="113" t="str">
        <f t="shared" si="1"/>
        <v>Le diné est parfait, merci!</v>
      </c>
    </row>
    <row r="24" spans="1:8" x14ac:dyDescent="0.25">
      <c r="A24" s="75"/>
      <c r="B24" s="87" t="s">
        <v>401</v>
      </c>
      <c r="C24" s="63"/>
      <c r="D24" s="93"/>
      <c r="E24" s="63"/>
      <c r="F24" s="41"/>
      <c r="G24" s="77" t="str">
        <f>IF(OR(F24="x",F24="x1",F24="x2",F24="x3",F24="x1'"),COUNTA($F$2:F24),".")</f>
        <v>.</v>
      </c>
      <c r="H24" s="113" t="str">
        <f t="shared" si="1"/>
        <v>---</v>
      </c>
    </row>
    <row r="25" spans="1:8" x14ac:dyDescent="0.25">
      <c r="A25" s="75"/>
      <c r="B25" s="87" t="s">
        <v>414</v>
      </c>
      <c r="C25" s="63"/>
      <c r="D25" s="93"/>
      <c r="E25" s="63" t="s">
        <v>455</v>
      </c>
      <c r="F25" s="41" t="s">
        <v>396</v>
      </c>
      <c r="G25" s="77">
        <f>IF(OR(F25="x",F25="x1",F25="x2",F25="x3",F25="x1'"),COUNTA($F$2:F25),".")</f>
        <v>16</v>
      </c>
      <c r="H25" s="113" t="str">
        <f t="shared" si="1"/>
        <v>~ Tu veux prendre un verre?
~ Pourquoi pas! On peut discuter.</v>
      </c>
    </row>
    <row r="26" spans="1:8" x14ac:dyDescent="0.25">
      <c r="A26" s="75"/>
      <c r="B26" s="87" t="s">
        <v>440</v>
      </c>
      <c r="C26" s="63"/>
      <c r="D26" s="93"/>
      <c r="E26" s="63"/>
      <c r="F26" s="41" t="s">
        <v>397</v>
      </c>
      <c r="G26" s="77">
        <f>IF(OR(F26="x",F26="x1",F26="x2",F26="x3",F26="x1'"),COUNTA($F$2:F26),".")</f>
        <v>17</v>
      </c>
      <c r="H26" s="113" t="str">
        <f t="shared" si="1"/>
        <v>---</v>
      </c>
    </row>
    <row r="27" spans="1:8" x14ac:dyDescent="0.25">
      <c r="A27" s="75"/>
      <c r="B27" s="87" t="s">
        <v>386</v>
      </c>
      <c r="C27" s="63"/>
      <c r="D27" s="93"/>
      <c r="E27" s="63" t="s">
        <v>417</v>
      </c>
      <c r="F27" s="41" t="s">
        <v>396</v>
      </c>
      <c r="G27" s="77">
        <f>IF(OR(F27="x",F27="x1",F27="x2",F27="x3",F27="x1'"),COUNTA($F$2:F27),".")</f>
        <v>18</v>
      </c>
      <c r="H27" s="113" t="str">
        <f t="shared" si="1"/>
        <v>Je peux rester chez toi ce soir? C'est possible?</v>
      </c>
    </row>
    <row r="28" spans="1:8" x14ac:dyDescent="0.25">
      <c r="A28" s="75"/>
      <c r="B28" s="117" t="s">
        <v>307</v>
      </c>
      <c r="C28" s="63"/>
      <c r="D28" s="93" t="s">
        <v>298</v>
      </c>
      <c r="E28" s="63" t="s">
        <v>429</v>
      </c>
      <c r="F28" s="41" t="s">
        <v>434</v>
      </c>
      <c r="G28" s="77">
        <f>IF(OR(F28="x",F28="x1",F28="x2",F28="x3",F28="x1'"),COUNTA($F$2:F28),".")</f>
        <v>19</v>
      </c>
      <c r="H28" s="14" t="str">
        <f t="shared" si="1"/>
        <v>---</v>
      </c>
    </row>
    <row r="29" spans="1:8" x14ac:dyDescent="0.25">
      <c r="A29" s="75"/>
      <c r="B29" s="117" t="s">
        <v>428</v>
      </c>
      <c r="C29" s="63"/>
      <c r="D29" s="93"/>
      <c r="E29" s="63"/>
      <c r="F29" s="41"/>
      <c r="G29" s="77" t="str">
        <f>IF(OR(F29="x",F29="x1",F29="x2",F29="x3",F29="x1'"),COUNTA($F$2:F29),".")</f>
        <v>.</v>
      </c>
      <c r="H29" s="14" t="str">
        <f t="shared" si="1"/>
        <v>---</v>
      </c>
    </row>
    <row r="30" spans="1:8" x14ac:dyDescent="0.25">
      <c r="A30" s="75"/>
      <c r="B30" s="117" t="s">
        <v>387</v>
      </c>
      <c r="C30" s="63"/>
      <c r="D30" s="93"/>
      <c r="E30" s="63" t="s">
        <v>416</v>
      </c>
      <c r="F30" s="41" t="s">
        <v>396</v>
      </c>
      <c r="G30" s="77">
        <f>IF(OR(F30="x",F30="x1",F30="x2",F30="x3",F30="x1'"),COUNTA($F$2:F30),".")</f>
        <v>20</v>
      </c>
      <c r="H30" s="14" t="str">
        <f t="shared" si="1"/>
        <v>~ Est-ce que je peux dormir chez toi ce soir?
~ D'accord.</v>
      </c>
    </row>
    <row r="31" spans="1:8" x14ac:dyDescent="0.25">
      <c r="A31" s="75"/>
      <c r="B31" s="87" t="s">
        <v>439</v>
      </c>
      <c r="C31" s="63"/>
      <c r="D31" s="93"/>
      <c r="E31" s="63" t="s">
        <v>430</v>
      </c>
      <c r="F31" s="41" t="s">
        <v>397</v>
      </c>
      <c r="G31" s="77">
        <f>IF(OR(F31="x",F31="x1",F31="x2",F31="x3",F31="x1'"),COUNTA($F$2:F31),".")</f>
        <v>21</v>
      </c>
      <c r="H31" s="14" t="str">
        <f t="shared" si="1"/>
        <v>---</v>
      </c>
    </row>
    <row r="32" spans="1:8" x14ac:dyDescent="0.25">
      <c r="A32" s="75"/>
      <c r="B32" s="87" t="s">
        <v>438</v>
      </c>
      <c r="C32" s="63"/>
      <c r="D32" s="93"/>
      <c r="E32" s="63" t="s">
        <v>415</v>
      </c>
      <c r="F32" s="41"/>
      <c r="G32" s="77" t="str">
        <f>IF(OR(F32="x",F32="x1",F32="x2",F32="x3",F32="x1'"),COUNTA($F$2:F32),".")</f>
        <v>.</v>
      </c>
      <c r="H32" s="14" t="str">
        <f t="shared" si="1"/>
        <v>---</v>
      </c>
    </row>
    <row r="33" spans="1:8" x14ac:dyDescent="0.25">
      <c r="A33" s="75"/>
      <c r="B33" s="38" t="s">
        <v>420</v>
      </c>
      <c r="C33" s="63"/>
      <c r="D33" s="93"/>
      <c r="E33" s="63" t="s">
        <v>431</v>
      </c>
      <c r="F33" s="41"/>
      <c r="G33" s="77" t="str">
        <f>IF(OR(F33="x",F33="x1",F33="x2",F33="x3",F33="x1'"),COUNTA($F$2:F33),".")</f>
        <v>.</v>
      </c>
      <c r="H33" s="14" t="str">
        <f t="shared" si="1"/>
        <v>---</v>
      </c>
    </row>
    <row r="34" spans="1:8" x14ac:dyDescent="0.25">
      <c r="A34" s="75"/>
      <c r="B34" s="38" t="s">
        <v>422</v>
      </c>
      <c r="C34" s="63"/>
      <c r="D34" s="93"/>
      <c r="E34" s="63"/>
      <c r="F34" s="41" t="s">
        <v>396</v>
      </c>
      <c r="G34" s="77">
        <f>IF(OR(F34="x",F34="x1",F34="x2",F34="x3",F34="x1'"),COUNTA($F$2:F34),".")</f>
        <v>22</v>
      </c>
      <c r="H34" s="14" t="str">
        <f t="shared" si="1"/>
        <v>~ Où est ma chambre?
~ Elle est là-bas.</v>
      </c>
    </row>
    <row r="35" spans="1:8" x14ac:dyDescent="0.25">
      <c r="A35" s="75"/>
      <c r="B35" s="38" t="s">
        <v>437</v>
      </c>
      <c r="C35" s="63"/>
      <c r="D35" s="93"/>
      <c r="E35" s="63"/>
      <c r="F35" s="41" t="s">
        <v>397</v>
      </c>
      <c r="G35" s="77">
        <f>IF(OR(F35="x",F35="x1",F35="x2",F35="x3",F35="x1'"),COUNTA($F$2:F35),".")</f>
        <v>23</v>
      </c>
      <c r="H35" s="14" t="str">
        <f t="shared" si="1"/>
        <v>---</v>
      </c>
    </row>
    <row r="36" spans="1:8" x14ac:dyDescent="0.25">
      <c r="A36" s="75"/>
      <c r="B36" s="38" t="s">
        <v>435</v>
      </c>
      <c r="C36" s="63"/>
      <c r="D36" s="93"/>
      <c r="E36" s="63"/>
      <c r="F36" s="41" t="s">
        <v>396</v>
      </c>
      <c r="G36" s="77">
        <f>IF(OR(F36="x",F36="x1",F36="x2",F36="x3",F36="x1'"),COUNTA($F$2:F36),".")</f>
        <v>24</v>
      </c>
      <c r="H36" s="14" t="str">
        <f t="shared" si="1"/>
        <v>Je suis fatiguée. Je veux dormir maintenant.</v>
      </c>
    </row>
    <row r="37" spans="1:8" x14ac:dyDescent="0.25">
      <c r="A37" s="75"/>
      <c r="B37" s="38" t="s">
        <v>436</v>
      </c>
      <c r="C37" s="63"/>
      <c r="D37" s="93"/>
      <c r="E37" s="63"/>
      <c r="F37" s="41" t="s">
        <v>434</v>
      </c>
      <c r="G37" s="77">
        <f>IF(OR(F37="x",F37="x1",F37="x2",F37="x3",F37="x1'"),COUNTA($F$2:F37),".")</f>
        <v>25</v>
      </c>
      <c r="H37" s="14" t="str">
        <f t="shared" si="1"/>
        <v>---</v>
      </c>
    </row>
    <row r="38" spans="1:8" ht="15.75" thickBot="1" x14ac:dyDescent="0.3">
      <c r="A38" s="76"/>
      <c r="B38" s="84" t="s">
        <v>432</v>
      </c>
      <c r="C38" s="66"/>
      <c r="D38" s="94"/>
      <c r="E38" s="66"/>
      <c r="F38" s="43" t="s">
        <v>124</v>
      </c>
      <c r="G38" s="78">
        <f>IF(OR(F38="x",F38="x1",F38="x2",F38="x3",F38="x1'"),COUNTA($F$2:F38),".")</f>
        <v>26</v>
      </c>
      <c r="H38" s="20" t="str">
        <f t="shared" si="1"/>
        <v>Est-ce que tu veux prendre ta douche d'abord?</v>
      </c>
    </row>
    <row r="41" spans="1:8" x14ac:dyDescent="0.25">
      <c r="H41" t="s">
        <v>383</v>
      </c>
    </row>
    <row r="42" spans="1:8" x14ac:dyDescent="0.25">
      <c r="H42" t="s">
        <v>426</v>
      </c>
    </row>
    <row r="43" spans="1:8" x14ac:dyDescent="0.25">
      <c r="H43" t="s">
        <v>403</v>
      </c>
    </row>
    <row r="44" spans="1:8" x14ac:dyDescent="0.25">
      <c r="H44" t="s">
        <v>448</v>
      </c>
    </row>
    <row r="45" spans="1:8" x14ac:dyDescent="0.25">
      <c r="H45" t="s">
        <v>449</v>
      </c>
    </row>
    <row r="46" spans="1:8" x14ac:dyDescent="0.25">
      <c r="H46" t="s">
        <v>450</v>
      </c>
    </row>
    <row r="47" spans="1:8" x14ac:dyDescent="0.25">
      <c r="H47" t="s">
        <v>410</v>
      </c>
    </row>
    <row r="48" spans="1:8" x14ac:dyDescent="0.25">
      <c r="H48" t="s">
        <v>451</v>
      </c>
    </row>
    <row r="49" spans="8:8" x14ac:dyDescent="0.25">
      <c r="H49" t="s">
        <v>445</v>
      </c>
    </row>
    <row r="50" spans="8:8" x14ac:dyDescent="0.25">
      <c r="H50" t="s">
        <v>385</v>
      </c>
    </row>
    <row r="51" spans="8:8" x14ac:dyDescent="0.25">
      <c r="H51" t="s">
        <v>452</v>
      </c>
    </row>
    <row r="52" spans="8:8" x14ac:dyDescent="0.25">
      <c r="H52" t="s">
        <v>446</v>
      </c>
    </row>
    <row r="53" spans="8:8" x14ac:dyDescent="0.25">
      <c r="H53" t="s">
        <v>453</v>
      </c>
    </row>
    <row r="54" spans="8:8" x14ac:dyDescent="0.25">
      <c r="H54" t="s">
        <v>454</v>
      </c>
    </row>
    <row r="55" spans="8:8" x14ac:dyDescent="0.25">
      <c r="H55" t="s">
        <v>447</v>
      </c>
    </row>
    <row r="56" spans="8:8" x14ac:dyDescent="0.25">
      <c r="H56" t="s">
        <v>432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FF2-DE4B-4EB1-A4CC-6FD710458D85}">
  <dimension ref="A1:K66"/>
  <sheetViews>
    <sheetView tabSelected="1" topLeftCell="C1" workbookViewId="0">
      <pane ySplit="1" topLeftCell="A32" activePane="bottomLeft" state="frozen"/>
      <selection pane="bottomLeft" activeCell="E51" sqref="E51"/>
    </sheetView>
  </sheetViews>
  <sheetFormatPr defaultRowHeight="15" x14ac:dyDescent="0.25"/>
  <cols>
    <col min="1" max="1" width="8" style="6" customWidth="1"/>
    <col min="2" max="2" width="10.85546875" style="6" bestFit="1" customWidth="1"/>
    <col min="3" max="3" width="14.140625" style="6" bestFit="1" customWidth="1"/>
    <col min="4" max="4" width="91" customWidth="1"/>
    <col min="5" max="5" width="67.42578125" customWidth="1"/>
    <col min="6" max="6" width="5.28515625" style="6" customWidth="1"/>
    <col min="7" max="7" width="5.7109375" style="6" customWidth="1"/>
    <col min="8" max="8" width="63.140625" customWidth="1"/>
    <col min="9" max="9" width="2.42578125" customWidth="1"/>
    <col min="10" max="10" width="3.28515625" customWidth="1"/>
    <col min="11" max="11" width="50.5703125" bestFit="1" customWidth="1"/>
  </cols>
  <sheetData>
    <row r="1" spans="1:11" ht="15.75" thickBot="1" x14ac:dyDescent="0.3">
      <c r="A1" s="23" t="s">
        <v>707</v>
      </c>
      <c r="B1" s="25" t="s">
        <v>165</v>
      </c>
      <c r="C1" s="23" t="s">
        <v>130</v>
      </c>
      <c r="D1" s="33" t="s">
        <v>121</v>
      </c>
      <c r="E1" s="23" t="s">
        <v>1</v>
      </c>
      <c r="F1" s="23" t="s">
        <v>122</v>
      </c>
      <c r="G1" s="23" t="s">
        <v>284</v>
      </c>
      <c r="H1" s="67" t="s">
        <v>771</v>
      </c>
      <c r="K1" s="58"/>
    </row>
    <row r="2" spans="1:11" x14ac:dyDescent="0.25">
      <c r="A2" s="138"/>
      <c r="B2" s="118" t="s">
        <v>720</v>
      </c>
      <c r="C2" s="74"/>
      <c r="D2" s="115" t="s">
        <v>388</v>
      </c>
      <c r="E2" s="116" t="s">
        <v>309</v>
      </c>
      <c r="F2" s="57"/>
      <c r="G2" s="79" t="str">
        <f>IF(F2="x",COUNTA($F$2:F2),".")</f>
        <v>.</v>
      </c>
      <c r="H2" s="46" t="str">
        <f t="shared" ref="H2:H3" si="0">IF(F2="x",D2,IF(AND(F2="x1",F3="x2",F4="x3"),"~"&amp;D2&amp;CHAR(10)&amp;"~ "&amp;D3&amp;CHAR(10)&amp;"~ "&amp;D4,IF(AND(F2="x1",F3="x2"),"~"&amp;D2&amp;CHAR(10)&amp;"~ "&amp;D3,IF(AND(F2="x1",F3="x1'"),D2&amp;" "&amp;D3,"---"))))</f>
        <v>---</v>
      </c>
    </row>
    <row r="3" spans="1:11" x14ac:dyDescent="0.25">
      <c r="A3" s="139"/>
      <c r="B3" s="146" t="s">
        <v>398</v>
      </c>
      <c r="C3" s="95"/>
      <c r="D3" s="140" t="s">
        <v>432</v>
      </c>
      <c r="E3" s="97"/>
      <c r="F3" s="99"/>
      <c r="G3" s="100" t="str">
        <f>IF(F3="x",COUNTA($F$2:F3),".")</f>
        <v>.</v>
      </c>
      <c r="H3" s="101" t="str">
        <f t="shared" si="0"/>
        <v>---</v>
      </c>
    </row>
    <row r="4" spans="1:11" x14ac:dyDescent="0.25">
      <c r="A4" s="137"/>
      <c r="B4" s="82"/>
      <c r="C4" s="75" t="s">
        <v>710</v>
      </c>
      <c r="D4" s="87" t="s">
        <v>708</v>
      </c>
      <c r="E4" s="63"/>
      <c r="F4" s="41" t="s">
        <v>124</v>
      </c>
      <c r="G4" s="77">
        <f>IF(F4="x",COUNTA($F$2:F4),".")</f>
        <v>1</v>
      </c>
      <c r="H4" s="113" t="str">
        <f>IF(F4="x",D4,IF(AND(F4="x1",F5="x2",F6="x3"),"~ "&amp;D4&amp;CHAR(10)&amp;"~ "&amp;D5&amp;CHAR(10)&amp;"~ "&amp;D6,IF(AND(F4="x1",F5="x2"),"~ "&amp;D4&amp;CHAR(10)&amp;"~ "&amp;D5,IF(AND(F4="x1",F5="x1'"),D4&amp;" "&amp;D5,"---"))))</f>
        <v>Euh, non je vais attendre demain.</v>
      </c>
    </row>
    <row r="5" spans="1:11" x14ac:dyDescent="0.25">
      <c r="A5" s="137"/>
      <c r="B5" s="82"/>
      <c r="C5" s="75" t="s">
        <v>759</v>
      </c>
      <c r="D5" s="87" t="s">
        <v>421</v>
      </c>
      <c r="E5" s="63"/>
      <c r="F5" s="41" t="s">
        <v>396</v>
      </c>
      <c r="G5" s="77" t="str">
        <f>IF(F5="x",COUNTA($F$2:F5),".")</f>
        <v>.</v>
      </c>
      <c r="H5" s="113" t="str">
        <f t="shared" ref="H5:H40" si="1">IF(F5="x",D5,IF(AND(F5="x1",F6="x2",F7="x3"),"~ "&amp;D5&amp;CHAR(10)&amp;"~ "&amp;D6&amp;CHAR(10)&amp;"~ "&amp;D7,IF(AND(F5="x1",F6="x2"),"~ "&amp;D5&amp;CHAR(10)&amp;"~ "&amp;D6,IF(AND(F5="x1",F6="x1'"),D5&amp;" "&amp;D6,"---"))))</f>
        <v>~ Où sont les toilettes?
~ Les toilettes sont là-bas, à droite.</v>
      </c>
    </row>
    <row r="6" spans="1:11" x14ac:dyDescent="0.25">
      <c r="A6" s="137"/>
      <c r="B6" s="82"/>
      <c r="C6" s="75" t="s">
        <v>711</v>
      </c>
      <c r="D6" s="87" t="s">
        <v>709</v>
      </c>
      <c r="E6" s="63"/>
      <c r="F6" s="41" t="s">
        <v>397</v>
      </c>
      <c r="G6" s="77" t="str">
        <f>IF(F6="x",COUNTA($F$2:F6),".")</f>
        <v>.</v>
      </c>
      <c r="H6" s="113" t="str">
        <f t="shared" si="1"/>
        <v>---</v>
      </c>
    </row>
    <row r="7" spans="1:11" x14ac:dyDescent="0.25">
      <c r="A7" s="137"/>
      <c r="B7" s="82"/>
      <c r="C7" s="75"/>
      <c r="D7" s="87" t="s">
        <v>721</v>
      </c>
      <c r="E7" s="63"/>
      <c r="F7" s="41" t="s">
        <v>396</v>
      </c>
      <c r="G7" s="77" t="str">
        <f>IF(F7="x",COUNTA($F$2:F7),".")</f>
        <v>.</v>
      </c>
      <c r="H7" s="113" t="str">
        <f t="shared" si="1"/>
        <v>~ Bonne nuit
~ Toi aussi</v>
      </c>
    </row>
    <row r="8" spans="1:11" x14ac:dyDescent="0.25">
      <c r="A8" s="137"/>
      <c r="B8" s="82"/>
      <c r="C8" s="75" t="s">
        <v>722</v>
      </c>
      <c r="D8" s="87" t="s">
        <v>767</v>
      </c>
      <c r="E8" s="63"/>
      <c r="F8" s="41" t="s">
        <v>397</v>
      </c>
      <c r="G8" s="77" t="str">
        <f>IF(F8="x",COUNTA($F$2:F8),".")</f>
        <v>.</v>
      </c>
      <c r="H8" s="113" t="str">
        <f t="shared" si="1"/>
        <v>---</v>
      </c>
    </row>
    <row r="9" spans="1:11" x14ac:dyDescent="0.25">
      <c r="A9" s="137"/>
      <c r="B9" s="82"/>
      <c r="C9" s="75" t="s">
        <v>760</v>
      </c>
      <c r="D9" s="142" t="s">
        <v>723</v>
      </c>
      <c r="E9" s="63"/>
      <c r="F9" s="41" t="s">
        <v>396</v>
      </c>
      <c r="G9" s="77" t="str">
        <f>IF(F9="x",COUNTA($F$2:F9),".")</f>
        <v>.</v>
      </c>
      <c r="H9" s="113" t="str">
        <f t="shared" si="1"/>
        <v>~ Tu as bien dormi?
~ Oui, et toi?
~ Moi aussi</v>
      </c>
    </row>
    <row r="10" spans="1:11" x14ac:dyDescent="0.25">
      <c r="A10" s="137"/>
      <c r="B10" s="82"/>
      <c r="C10" s="75"/>
      <c r="D10" s="142" t="s">
        <v>724</v>
      </c>
      <c r="E10" s="63"/>
      <c r="F10" s="41" t="s">
        <v>397</v>
      </c>
      <c r="G10" s="77" t="str">
        <f>IF(F10="x",COUNTA($F$2:F10),".")</f>
        <v>.</v>
      </c>
      <c r="H10" s="113" t="str">
        <f t="shared" si="1"/>
        <v>---</v>
      </c>
    </row>
    <row r="11" spans="1:11" x14ac:dyDescent="0.25">
      <c r="A11" s="137"/>
      <c r="B11" s="82"/>
      <c r="C11" s="75"/>
      <c r="D11" s="143" t="s">
        <v>725</v>
      </c>
      <c r="E11" s="63"/>
      <c r="F11" s="41" t="s">
        <v>768</v>
      </c>
      <c r="G11" s="77" t="str">
        <f>IF(F11="x",COUNTA($F$2:F11),".")</f>
        <v>.</v>
      </c>
      <c r="H11" s="113" t="str">
        <f t="shared" si="1"/>
        <v>---</v>
      </c>
    </row>
    <row r="12" spans="1:11" x14ac:dyDescent="0.25">
      <c r="A12" s="137"/>
      <c r="B12" s="82"/>
      <c r="C12" s="75"/>
      <c r="D12" s="38" t="s">
        <v>729</v>
      </c>
      <c r="E12" s="63"/>
      <c r="F12" s="41" t="s">
        <v>124</v>
      </c>
      <c r="G12" s="77">
        <f>IF(F12="x",COUNTA($F$2:F12),".")</f>
        <v>9</v>
      </c>
      <c r="H12" s="113" t="str">
        <f t="shared" si="1"/>
        <v>Tu veux prendre ton petit-dej maintenant?</v>
      </c>
    </row>
    <row r="13" spans="1:11" x14ac:dyDescent="0.25">
      <c r="A13" s="137"/>
      <c r="B13" s="82"/>
      <c r="C13" s="75" t="s">
        <v>734</v>
      </c>
      <c r="D13" s="38" t="s">
        <v>730</v>
      </c>
      <c r="E13" s="63"/>
      <c r="F13" s="41" t="s">
        <v>124</v>
      </c>
      <c r="G13" s="77">
        <f>IF(F13="x",COUNTA($F$2:F13),".")</f>
        <v>10</v>
      </c>
      <c r="H13" s="113" t="str">
        <f t="shared" si="1"/>
        <v xml:space="preserve">Oui, mais je dois prendre ma douche d'abord </v>
      </c>
    </row>
    <row r="14" spans="1:11" x14ac:dyDescent="0.25">
      <c r="A14" s="137"/>
      <c r="B14" s="82" t="s">
        <v>166</v>
      </c>
      <c r="C14" s="75"/>
      <c r="D14" s="7" t="s">
        <v>731</v>
      </c>
      <c r="E14" s="63"/>
      <c r="F14" s="41"/>
      <c r="G14" s="77" t="str">
        <f>IF(F14="x",COUNTA($F$2:F14),".")</f>
        <v>.</v>
      </c>
      <c r="H14" s="113" t="str">
        <f t="shared" si="1"/>
        <v>---</v>
      </c>
    </row>
    <row r="15" spans="1:11" x14ac:dyDescent="0.25">
      <c r="A15" s="137"/>
      <c r="B15" s="82"/>
      <c r="C15" s="75"/>
      <c r="D15" s="7" t="s">
        <v>732</v>
      </c>
      <c r="E15" s="63"/>
      <c r="F15" s="41"/>
      <c r="G15" s="77" t="str">
        <f>IF(F15="x",COUNTA($F$2:F15),".")</f>
        <v>.</v>
      </c>
      <c r="H15" s="113" t="str">
        <f t="shared" si="1"/>
        <v>---</v>
      </c>
    </row>
    <row r="16" spans="1:11" x14ac:dyDescent="0.25">
      <c r="A16" s="137"/>
      <c r="B16" s="82"/>
      <c r="C16" s="75" t="s">
        <v>761</v>
      </c>
      <c r="D16" s="7" t="s">
        <v>769</v>
      </c>
      <c r="E16" s="63"/>
      <c r="F16" s="41" t="s">
        <v>124</v>
      </c>
      <c r="G16" s="77">
        <f>IF(F16="x",COUNTA($F$2:F16),".")</f>
        <v>11</v>
      </c>
      <c r="H16" s="113" t="str">
        <f t="shared" si="1"/>
        <v>On doit discuter de la vie</v>
      </c>
    </row>
    <row r="17" spans="1:8" x14ac:dyDescent="0.25">
      <c r="A17" s="137"/>
      <c r="B17" s="82"/>
      <c r="C17" s="75"/>
      <c r="D17" s="7" t="s">
        <v>796</v>
      </c>
      <c r="E17" s="63"/>
      <c r="F17" s="41" t="s">
        <v>124</v>
      </c>
      <c r="G17" s="77">
        <f>IF(F17="x",COUNTA($F$2:F17),".")</f>
        <v>12</v>
      </c>
      <c r="H17" s="113" t="str">
        <f t="shared" si="1"/>
        <v>Tu dois preparer du café</v>
      </c>
    </row>
    <row r="18" spans="1:8" x14ac:dyDescent="0.25">
      <c r="A18" s="137"/>
      <c r="B18" s="82"/>
      <c r="C18" s="75" t="s">
        <v>735</v>
      </c>
      <c r="D18" s="38" t="s">
        <v>727</v>
      </c>
      <c r="E18" s="63"/>
      <c r="F18" s="41" t="s">
        <v>396</v>
      </c>
      <c r="G18" s="77" t="str">
        <f>IF(F18="x",COUNTA($F$2:F18),".")</f>
        <v>.</v>
      </c>
      <c r="H18" s="113" t="str">
        <f t="shared" si="1"/>
        <v>~ Je dois partir maintenant
~ Non, tu dois manger d'abord!</v>
      </c>
    </row>
    <row r="19" spans="1:8" x14ac:dyDescent="0.25">
      <c r="A19" s="137"/>
      <c r="B19" s="82"/>
      <c r="C19" s="75"/>
      <c r="D19" s="38" t="s">
        <v>770</v>
      </c>
      <c r="E19" s="63"/>
      <c r="F19" s="41" t="s">
        <v>397</v>
      </c>
      <c r="G19" s="77" t="str">
        <f>IF(F19="x",COUNTA($F$2:F19),".")</f>
        <v>.</v>
      </c>
      <c r="H19" s="113" t="str">
        <f t="shared" si="1"/>
        <v>---</v>
      </c>
    </row>
    <row r="20" spans="1:8" x14ac:dyDescent="0.25">
      <c r="A20" s="137"/>
      <c r="B20" s="82"/>
      <c r="C20" s="75" t="s">
        <v>736</v>
      </c>
      <c r="D20" s="38" t="s">
        <v>728</v>
      </c>
      <c r="E20" s="63"/>
      <c r="F20" s="41" t="s">
        <v>124</v>
      </c>
      <c r="G20" s="77">
        <f>IF(F20="x",COUNTA($F$2:F20),".")</f>
        <v>15</v>
      </c>
      <c r="H20" s="113" t="str">
        <f t="shared" si="1"/>
        <v>Tu dois manger avant de partir</v>
      </c>
    </row>
    <row r="21" spans="1:8" x14ac:dyDescent="0.25">
      <c r="A21" s="137"/>
      <c r="B21" s="82"/>
      <c r="C21" s="75"/>
      <c r="D21" s="38" t="s">
        <v>762</v>
      </c>
      <c r="E21" s="63"/>
      <c r="F21" s="41" t="s">
        <v>124</v>
      </c>
      <c r="G21" s="77">
        <f>IF(F21="x",COUNTA($F$2:F21),".")</f>
        <v>16</v>
      </c>
      <c r="H21" s="113" t="str">
        <f t="shared" si="1"/>
        <v>Je dois prendre une douche avant de dormir</v>
      </c>
    </row>
    <row r="22" spans="1:8" x14ac:dyDescent="0.25">
      <c r="A22" s="137"/>
      <c r="B22" s="82"/>
      <c r="C22" s="75" t="s">
        <v>763</v>
      </c>
      <c r="D22" s="38" t="s">
        <v>737</v>
      </c>
      <c r="E22" s="63"/>
      <c r="F22" s="41"/>
      <c r="G22" s="77" t="str">
        <f>IF(F22="x",COUNTA($F$2:F22),".")</f>
        <v>.</v>
      </c>
      <c r="H22" s="113" t="str">
        <f t="shared" si="1"/>
        <v>---</v>
      </c>
    </row>
    <row r="23" spans="1:8" x14ac:dyDescent="0.25">
      <c r="A23" s="137"/>
      <c r="B23" s="82"/>
      <c r="C23" s="75" t="s">
        <v>764</v>
      </c>
      <c r="D23" s="38" t="s">
        <v>738</v>
      </c>
      <c r="E23" s="63"/>
      <c r="F23" s="41" t="s">
        <v>396</v>
      </c>
      <c r="G23" s="77" t="str">
        <f>IF(F23="x",COUNTA($F$2:F23),".")</f>
        <v>.</v>
      </c>
      <c r="H23" s="113" t="str">
        <f t="shared" si="1"/>
        <v>~ Tu veux boire du lait?
~ Non merci, j'en veux pas</v>
      </c>
    </row>
    <row r="24" spans="1:8" x14ac:dyDescent="0.25">
      <c r="A24" s="137"/>
      <c r="B24" s="82"/>
      <c r="C24" s="75" t="s">
        <v>741</v>
      </c>
      <c r="D24" s="38" t="s">
        <v>740</v>
      </c>
      <c r="E24" s="63"/>
      <c r="F24" s="41" t="s">
        <v>397</v>
      </c>
      <c r="G24" s="77" t="str">
        <f>IF(F24="x",COUNTA($F$2:F24),".")</f>
        <v>.</v>
      </c>
      <c r="H24" s="113" t="str">
        <f t="shared" si="1"/>
        <v>---</v>
      </c>
    </row>
    <row r="25" spans="1:8" x14ac:dyDescent="0.25">
      <c r="A25" s="137"/>
      <c r="B25" s="82" t="s">
        <v>166</v>
      </c>
      <c r="C25" s="75" t="s">
        <v>745</v>
      </c>
      <c r="D25" s="38" t="s">
        <v>739</v>
      </c>
      <c r="E25" s="63"/>
      <c r="F25" s="41"/>
      <c r="G25" s="77" t="str">
        <f>IF(F25="x",COUNTA($F$2:F25),".")</f>
        <v>.</v>
      </c>
      <c r="H25" s="113" t="str">
        <f t="shared" si="1"/>
        <v>---</v>
      </c>
    </row>
    <row r="26" spans="1:8" x14ac:dyDescent="0.25">
      <c r="A26" s="137"/>
      <c r="B26" s="82" t="s">
        <v>166</v>
      </c>
      <c r="C26" s="75" t="s">
        <v>423</v>
      </c>
      <c r="D26" s="38" t="s">
        <v>747</v>
      </c>
      <c r="E26" s="63"/>
      <c r="F26" s="41" t="s">
        <v>396</v>
      </c>
      <c r="G26" s="77" t="str">
        <f>IF(F26="x",COUNTA($F$2:F26),".")</f>
        <v>.</v>
      </c>
      <c r="H26" s="113" t="str">
        <f t="shared" si="1"/>
        <v>~ Tu as du pain, stp?
~ Non, j'en ai pas achete</v>
      </c>
    </row>
    <row r="27" spans="1:8" x14ac:dyDescent="0.25">
      <c r="A27" s="137"/>
      <c r="B27" s="82" t="s">
        <v>166</v>
      </c>
      <c r="C27" s="75"/>
      <c r="D27" s="38" t="s">
        <v>742</v>
      </c>
      <c r="E27" s="63"/>
      <c r="F27" s="41" t="s">
        <v>397</v>
      </c>
      <c r="G27" s="77" t="str">
        <f>IF(F27="x",COUNTA($F$2:F27),".")</f>
        <v>.</v>
      </c>
      <c r="H27" s="113" t="str">
        <f t="shared" si="1"/>
        <v>---</v>
      </c>
    </row>
    <row r="28" spans="1:8" x14ac:dyDescent="0.25">
      <c r="A28" s="137"/>
      <c r="B28" s="82" t="s">
        <v>166</v>
      </c>
      <c r="C28" s="75"/>
      <c r="D28" s="38" t="s">
        <v>743</v>
      </c>
      <c r="E28" s="63"/>
      <c r="F28" s="41" t="s">
        <v>396</v>
      </c>
      <c r="G28" s="77" t="str">
        <f>IF(F28="x",COUNTA($F$2:F28),".")</f>
        <v>.</v>
      </c>
      <c r="H28" s="113" t="str">
        <f t="shared" si="1"/>
        <v>~ Ah, et tu as du café?
~ Oui j'en ai, mais j'en ai pas preparé…</v>
      </c>
    </row>
    <row r="29" spans="1:8" x14ac:dyDescent="0.25">
      <c r="A29" s="137"/>
      <c r="B29" s="82"/>
      <c r="C29" s="75"/>
      <c r="D29" s="38" t="s">
        <v>772</v>
      </c>
      <c r="E29" s="63"/>
      <c r="F29" s="41" t="s">
        <v>397</v>
      </c>
      <c r="G29" s="77" t="str">
        <f>IF(F29="x",COUNTA($F$2:F29),".")</f>
        <v>.</v>
      </c>
      <c r="H29" s="113" t="str">
        <f t="shared" si="1"/>
        <v>---</v>
      </c>
    </row>
    <row r="30" spans="1:8" x14ac:dyDescent="0.25">
      <c r="A30" s="137"/>
      <c r="B30" s="82"/>
      <c r="C30" s="75" t="s">
        <v>744</v>
      </c>
      <c r="D30" s="38" t="s">
        <v>744</v>
      </c>
      <c r="E30" s="63"/>
      <c r="F30" s="41" t="s">
        <v>124</v>
      </c>
      <c r="G30" s="77">
        <f>IF(F30="x",COUNTA($F$2:F30),".")</f>
        <v>23</v>
      </c>
      <c r="H30" s="113" t="str">
        <f t="shared" si="1"/>
        <v>C'est pas grave</v>
      </c>
    </row>
    <row r="31" spans="1:8" x14ac:dyDescent="0.25">
      <c r="A31" s="137"/>
      <c r="B31" s="82"/>
      <c r="C31" s="75"/>
      <c r="D31" s="38" t="s">
        <v>773</v>
      </c>
      <c r="E31" s="63" t="s">
        <v>774</v>
      </c>
      <c r="F31" s="41" t="s">
        <v>124</v>
      </c>
      <c r="G31" s="77">
        <f>IF(F31="x",COUNTA($F$2:F31),".")</f>
        <v>24</v>
      </c>
      <c r="H31" s="113" t="str">
        <f t="shared" si="1"/>
        <v>Je dois aller voir au Louvre maintenant</v>
      </c>
    </row>
    <row r="32" spans="1:8" x14ac:dyDescent="0.25">
      <c r="A32" s="137"/>
      <c r="B32" s="82"/>
      <c r="C32" s="75"/>
      <c r="D32" s="38" t="s">
        <v>746</v>
      </c>
      <c r="E32" s="63"/>
      <c r="F32" s="41"/>
      <c r="G32" s="77" t="str">
        <f>IF(F32="x",COUNTA($F$2:F32),".")</f>
        <v>.</v>
      </c>
      <c r="H32" s="113" t="str">
        <f t="shared" si="1"/>
        <v>---</v>
      </c>
    </row>
    <row r="33" spans="1:8" x14ac:dyDescent="0.25">
      <c r="A33" s="137"/>
      <c r="B33" s="82"/>
      <c r="C33" s="75" t="s">
        <v>765</v>
      </c>
      <c r="D33" s="38" t="s">
        <v>424</v>
      </c>
      <c r="E33" s="63"/>
      <c r="F33" s="41" t="s">
        <v>124</v>
      </c>
      <c r="G33" s="77">
        <f>IF(F33="x",COUNTA($F$2:F33),".")</f>
        <v>25</v>
      </c>
      <c r="H33" s="113" t="str">
        <f t="shared" si="1"/>
        <v>Où est-ce que je peux prendre un taxi?</v>
      </c>
    </row>
    <row r="34" spans="1:8" x14ac:dyDescent="0.25">
      <c r="A34" s="137"/>
      <c r="B34" s="82"/>
      <c r="C34" s="75" t="s">
        <v>766</v>
      </c>
      <c r="D34" s="38" t="s">
        <v>748</v>
      </c>
      <c r="E34" s="63"/>
      <c r="F34" s="41" t="s">
        <v>396</v>
      </c>
      <c r="G34" s="77" t="str">
        <f>IF(F34="x",COUNTA($F$2:F34),".")</f>
        <v>.</v>
      </c>
      <c r="H34" s="113" t="str">
        <f t="shared" si="1"/>
        <v>~ Je peux appeler un taxi pour toi
~ Super, merci!</v>
      </c>
    </row>
    <row r="35" spans="1:8" x14ac:dyDescent="0.25">
      <c r="A35" s="137"/>
      <c r="B35" s="82"/>
      <c r="C35" s="75"/>
      <c r="D35" s="38" t="s">
        <v>379</v>
      </c>
      <c r="E35" s="63"/>
      <c r="F35" s="41" t="s">
        <v>397</v>
      </c>
      <c r="G35" s="77" t="str">
        <f>IF(F35="x",COUNTA($F$2:F35),".")</f>
        <v>.</v>
      </c>
      <c r="H35" s="113" t="str">
        <f t="shared" si="1"/>
        <v>---</v>
      </c>
    </row>
    <row r="36" spans="1:8" x14ac:dyDescent="0.25">
      <c r="A36" s="137"/>
      <c r="B36" s="82"/>
      <c r="C36" s="75" t="s">
        <v>750</v>
      </c>
      <c r="D36" s="38" t="s">
        <v>749</v>
      </c>
      <c r="E36" s="63"/>
      <c r="F36" s="41" t="s">
        <v>124</v>
      </c>
      <c r="G36" s="77">
        <f>IF(F36="x",COUNTA($F$2:F36),".")</f>
        <v>28</v>
      </c>
      <c r="H36" s="113" t="str">
        <f t="shared" si="1"/>
        <v>Tu dois attendre le taxi 10 minutes</v>
      </c>
    </row>
    <row r="37" spans="1:8" x14ac:dyDescent="0.25">
      <c r="A37" s="137"/>
      <c r="B37" s="82"/>
      <c r="C37" s="75" t="s">
        <v>758</v>
      </c>
      <c r="D37" s="38" t="s">
        <v>755</v>
      </c>
      <c r="E37" s="63"/>
      <c r="F37" s="41" t="s">
        <v>396</v>
      </c>
      <c r="G37" s="77" t="str">
        <f>IF(F37="x",COUNTA($F$2:F37),".")</f>
        <v>.</v>
      </c>
      <c r="H37" s="113" t="str">
        <f t="shared" si="1"/>
        <v>~ Ok, et c'est combien?
~ C'est 10 euros</v>
      </c>
    </row>
    <row r="38" spans="1:8" x14ac:dyDescent="0.25">
      <c r="A38" s="137"/>
      <c r="B38" s="82"/>
      <c r="C38" s="75" t="s">
        <v>757</v>
      </c>
      <c r="D38" s="38" t="s">
        <v>756</v>
      </c>
      <c r="E38" s="63"/>
      <c r="F38" s="41" t="s">
        <v>397</v>
      </c>
      <c r="G38" s="77" t="str">
        <f>IF(F38="x",COUNTA($F$2:F38),".")</f>
        <v>.</v>
      </c>
      <c r="H38" s="113" t="str">
        <f t="shared" si="1"/>
        <v>---</v>
      </c>
    </row>
    <row r="39" spans="1:8" x14ac:dyDescent="0.25">
      <c r="A39" s="137"/>
      <c r="B39" s="82"/>
      <c r="C39" s="75" t="s">
        <v>753</v>
      </c>
      <c r="D39" s="38" t="s">
        <v>751</v>
      </c>
      <c r="E39" s="63"/>
      <c r="F39" s="41" t="s">
        <v>396</v>
      </c>
      <c r="G39" s="77" t="str">
        <f>IF(F39="x",COUNTA($F$2:F39),".")</f>
        <v>.</v>
      </c>
      <c r="H39" s="113" t="str">
        <f>IF(F39="x",D39,IF(AND(F39="x1",F40="x2",F41="x3"),"~ "&amp;D39&amp;CHAR(10)&amp;"~ "&amp;D40&amp;CHAR(10)&amp;"~ "&amp;D42,IF(AND(F39="x1",F40="x2"),"~ "&amp;D39&amp;CHAR(10)&amp;"~ "&amp;D40,IF(AND(F39="x1",F40="x1'"),D39&amp;" "&amp;D40,"---"))))</f>
        <v>~ D'accord, au revoir!
~ A plus tard!</v>
      </c>
    </row>
    <row r="40" spans="1:8" ht="15.75" thickBot="1" x14ac:dyDescent="0.3">
      <c r="A40" s="137"/>
      <c r="B40" s="82"/>
      <c r="C40" s="76" t="s">
        <v>754</v>
      </c>
      <c r="D40" s="84" t="s">
        <v>752</v>
      </c>
      <c r="E40" s="66"/>
      <c r="F40" s="43" t="s">
        <v>397</v>
      </c>
      <c r="G40" s="78">
        <f>COUNTA($F$2:F40)</f>
        <v>32</v>
      </c>
      <c r="H40" s="147" t="str">
        <f>IF(F40="x",D40,IF(AND(F40="x1",F41="x2",F42="x3"),"~ "&amp;D40&amp;CHAR(10)&amp;"~ "&amp;D42&amp;CHAR(10)&amp;"~ "&amp;D43,IF(AND(F40="x1",F41="x2"),"~ "&amp;D40&amp;CHAR(10)&amp;"~ "&amp;D42,IF(AND(F40="x1",F41="x1'"),D40&amp;" "&amp;D42,"---"))))</f>
        <v>---</v>
      </c>
    </row>
    <row r="41" spans="1:8" x14ac:dyDescent="0.25">
      <c r="G41" s="6" t="s">
        <v>771</v>
      </c>
      <c r="H41" s="112"/>
    </row>
    <row r="42" spans="1:8" x14ac:dyDescent="0.25">
      <c r="D42" s="136"/>
    </row>
    <row r="43" spans="1:8" x14ac:dyDescent="0.25">
      <c r="D43" s="136"/>
      <c r="E43" s="251" t="s">
        <v>926</v>
      </c>
    </row>
    <row r="44" spans="1:8" x14ac:dyDescent="0.25">
      <c r="D44" s="141" t="s">
        <v>712</v>
      </c>
      <c r="E44" s="252"/>
    </row>
    <row r="45" spans="1:8" x14ac:dyDescent="0.25">
      <c r="D45" t="s">
        <v>713</v>
      </c>
      <c r="H45" s="250" t="s">
        <v>929</v>
      </c>
    </row>
    <row r="46" spans="1:8" x14ac:dyDescent="0.25">
      <c r="D46" t="s">
        <v>714</v>
      </c>
      <c r="E46" t="s">
        <v>708</v>
      </c>
    </row>
    <row r="47" spans="1:8" x14ac:dyDescent="0.25">
      <c r="D47" t="s">
        <v>715</v>
      </c>
      <c r="E47" t="s">
        <v>780</v>
      </c>
    </row>
    <row r="48" spans="1:8" x14ac:dyDescent="0.25">
      <c r="D48" t="s">
        <v>726</v>
      </c>
      <c r="E48" t="s">
        <v>781</v>
      </c>
    </row>
    <row r="49" spans="4:5" x14ac:dyDescent="0.25">
      <c r="D49" t="s">
        <v>716</v>
      </c>
      <c r="E49" t="s">
        <v>782</v>
      </c>
    </row>
    <row r="50" spans="4:5" x14ac:dyDescent="0.25">
      <c r="D50" t="s">
        <v>718</v>
      </c>
      <c r="E50" t="s">
        <v>729</v>
      </c>
    </row>
    <row r="51" spans="4:5" x14ac:dyDescent="0.25">
      <c r="D51" t="s">
        <v>719</v>
      </c>
      <c r="E51" t="s">
        <v>730</v>
      </c>
    </row>
    <row r="52" spans="4:5" x14ac:dyDescent="0.25">
      <c r="E52" t="s">
        <v>769</v>
      </c>
    </row>
    <row r="53" spans="4:5" x14ac:dyDescent="0.25">
      <c r="E53" t="s">
        <v>733</v>
      </c>
    </row>
    <row r="54" spans="4:5" x14ac:dyDescent="0.25">
      <c r="E54" t="s">
        <v>783</v>
      </c>
    </row>
    <row r="55" spans="4:5" x14ac:dyDescent="0.25">
      <c r="E55" t="s">
        <v>728</v>
      </c>
    </row>
    <row r="56" spans="4:5" x14ac:dyDescent="0.25">
      <c r="E56" t="s">
        <v>762</v>
      </c>
    </row>
    <row r="57" spans="4:5" x14ac:dyDescent="0.25">
      <c r="E57" t="s">
        <v>784</v>
      </c>
    </row>
    <row r="58" spans="4:5" x14ac:dyDescent="0.25">
      <c r="E58" t="s">
        <v>785</v>
      </c>
    </row>
    <row r="59" spans="4:5" x14ac:dyDescent="0.25">
      <c r="E59" t="s">
        <v>786</v>
      </c>
    </row>
    <row r="60" spans="4:5" x14ac:dyDescent="0.25">
      <c r="E60" t="s">
        <v>744</v>
      </c>
    </row>
    <row r="61" spans="4:5" x14ac:dyDescent="0.25">
      <c r="E61" t="s">
        <v>773</v>
      </c>
    </row>
    <row r="62" spans="4:5" x14ac:dyDescent="0.25">
      <c r="E62" t="s">
        <v>424</v>
      </c>
    </row>
    <row r="63" spans="4:5" x14ac:dyDescent="0.25">
      <c r="E63" t="s">
        <v>787</v>
      </c>
    </row>
    <row r="64" spans="4:5" x14ac:dyDescent="0.25">
      <c r="E64" t="s">
        <v>749</v>
      </c>
    </row>
    <row r="65" spans="5:5" x14ac:dyDescent="0.25">
      <c r="E65" t="s">
        <v>788</v>
      </c>
    </row>
    <row r="66" spans="5:5" x14ac:dyDescent="0.25">
      <c r="E66" t="s">
        <v>789</v>
      </c>
    </row>
  </sheetData>
  <mergeCells count="1">
    <mergeCell ref="E43:E4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Button 1">
              <controlPr defaultSize="0" print="0" autoFill="0" autoPict="0" macro="[0]!Add_CurrentLessonSentences_AnkiLog">
                <anchor moveWithCells="1" sizeWithCells="1">
                  <from>
                    <xdr:col>4</xdr:col>
                    <xdr:colOff>238125</xdr:colOff>
                    <xdr:row>40</xdr:row>
                    <xdr:rowOff>76200</xdr:rowOff>
                  </from>
                  <to>
                    <xdr:col>4</xdr:col>
                    <xdr:colOff>4371975</xdr:colOff>
                    <xdr:row>42</xdr:row>
                    <xdr:rowOff>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8665-6A56-42E3-B4F4-DF238255D7F3}">
  <dimension ref="A1:J59"/>
  <sheetViews>
    <sheetView workbookViewId="0">
      <pane ySplit="1" topLeftCell="A2" activePane="bottomLeft" state="frozen"/>
      <selection pane="bottomLeft" activeCell="D8" sqref="D8"/>
    </sheetView>
  </sheetViews>
  <sheetFormatPr defaultRowHeight="15" x14ac:dyDescent="0.25"/>
  <cols>
    <col min="1" max="1" width="10.85546875" style="6" bestFit="1" customWidth="1"/>
    <col min="2" max="2" width="14.140625" style="6" bestFit="1" customWidth="1"/>
    <col min="3" max="3" width="93.5703125" customWidth="1"/>
    <col min="4" max="4" width="67.42578125" customWidth="1"/>
    <col min="5" max="5" width="5.28515625" style="6" customWidth="1"/>
    <col min="6" max="6" width="5.7109375" style="6" customWidth="1"/>
    <col min="7" max="7" width="68.5703125" customWidth="1"/>
    <col min="8" max="8" width="2.42578125" customWidth="1"/>
    <col min="9" max="9" width="3.28515625" customWidth="1"/>
    <col min="10" max="10" width="50.5703125" bestFit="1" customWidth="1"/>
  </cols>
  <sheetData>
    <row r="1" spans="1:10" ht="15.75" thickBot="1" x14ac:dyDescent="0.3">
      <c r="A1" s="25" t="s">
        <v>165</v>
      </c>
      <c r="B1" s="23" t="s">
        <v>130</v>
      </c>
      <c r="C1" s="33" t="s">
        <v>121</v>
      </c>
      <c r="D1" s="23" t="s">
        <v>1</v>
      </c>
      <c r="E1" s="23" t="s">
        <v>122</v>
      </c>
      <c r="F1" s="23" t="s">
        <v>284</v>
      </c>
      <c r="G1" s="67"/>
      <c r="H1" s="51"/>
      <c r="J1" s="58"/>
    </row>
    <row r="2" spans="1:10" x14ac:dyDescent="0.25">
      <c r="A2" s="144" t="s">
        <v>720</v>
      </c>
      <c r="B2" s="74"/>
      <c r="C2" s="115" t="s">
        <v>907</v>
      </c>
      <c r="D2" s="116" t="s">
        <v>908</v>
      </c>
      <c r="E2" s="57"/>
      <c r="F2" s="79"/>
      <c r="G2" s="46"/>
      <c r="H2" s="51"/>
    </row>
    <row r="3" spans="1:10" x14ac:dyDescent="0.25">
      <c r="A3" s="146" t="s">
        <v>398</v>
      </c>
      <c r="B3" s="95"/>
      <c r="C3" s="140" t="s">
        <v>752</v>
      </c>
      <c r="D3" s="97"/>
      <c r="E3" s="99"/>
      <c r="F3" s="100"/>
      <c r="G3" s="101"/>
      <c r="H3" s="51"/>
    </row>
    <row r="4" spans="1:10" x14ac:dyDescent="0.25">
      <c r="A4" s="198" t="s">
        <v>909</v>
      </c>
      <c r="B4" s="75"/>
      <c r="C4" s="102"/>
      <c r="D4" s="103"/>
      <c r="E4" s="41"/>
      <c r="F4" s="77"/>
      <c r="G4" s="14"/>
      <c r="H4" s="51"/>
    </row>
    <row r="5" spans="1:10" x14ac:dyDescent="0.25">
      <c r="A5" s="199"/>
      <c r="B5" s="75"/>
      <c r="C5" s="102"/>
      <c r="D5" s="103"/>
      <c r="E5" s="41"/>
      <c r="F5" s="77"/>
      <c r="G5" s="14"/>
      <c r="H5" s="51"/>
    </row>
    <row r="6" spans="1:10" x14ac:dyDescent="0.25">
      <c r="A6" s="199"/>
      <c r="B6" s="75"/>
      <c r="C6" s="102"/>
      <c r="D6" s="103"/>
      <c r="E6" s="41"/>
      <c r="F6" s="77"/>
      <c r="G6" s="14"/>
      <c r="H6" s="51"/>
    </row>
    <row r="7" spans="1:10" x14ac:dyDescent="0.25">
      <c r="A7" s="199"/>
      <c r="B7" s="75"/>
      <c r="C7" s="102"/>
      <c r="D7" s="103"/>
      <c r="E7" s="41"/>
      <c r="F7" s="77"/>
      <c r="G7" s="14"/>
      <c r="H7" s="51"/>
    </row>
    <row r="8" spans="1:10" x14ac:dyDescent="0.25">
      <c r="A8" s="199"/>
      <c r="B8" s="75"/>
      <c r="C8" s="102"/>
      <c r="D8" s="103"/>
      <c r="E8" s="41"/>
      <c r="F8" s="77"/>
      <c r="G8" s="14"/>
      <c r="H8" s="51"/>
    </row>
    <row r="9" spans="1:10" x14ac:dyDescent="0.25">
      <c r="A9" s="199"/>
      <c r="B9" s="75"/>
      <c r="C9" s="102"/>
      <c r="D9" s="103"/>
      <c r="E9" s="41"/>
      <c r="F9" s="77"/>
      <c r="G9" s="14"/>
      <c r="H9" s="51"/>
    </row>
    <row r="10" spans="1:10" x14ac:dyDescent="0.25">
      <c r="A10" s="199"/>
      <c r="B10" s="75"/>
      <c r="C10" s="102"/>
      <c r="D10" s="103"/>
      <c r="E10" s="41"/>
      <c r="F10" s="77"/>
      <c r="G10" s="14"/>
      <c r="H10" s="51"/>
    </row>
    <row r="11" spans="1:10" x14ac:dyDescent="0.25">
      <c r="A11" s="199"/>
      <c r="B11" s="75"/>
      <c r="C11" s="102"/>
      <c r="D11" s="103"/>
      <c r="E11" s="41"/>
      <c r="F11" s="77"/>
      <c r="G11" s="14"/>
      <c r="H11" s="51"/>
    </row>
    <row r="12" spans="1:10" x14ac:dyDescent="0.25">
      <c r="A12" s="199"/>
      <c r="B12" s="75"/>
      <c r="C12" s="102"/>
      <c r="D12" s="103"/>
      <c r="E12" s="41"/>
      <c r="F12" s="77"/>
      <c r="G12" s="14"/>
      <c r="H12" s="51"/>
    </row>
    <row r="13" spans="1:10" x14ac:dyDescent="0.25">
      <c r="A13" s="199"/>
      <c r="B13" s="75"/>
      <c r="C13" s="102"/>
      <c r="D13" s="103"/>
      <c r="E13" s="41"/>
      <c r="F13" s="77"/>
      <c r="G13" s="14"/>
      <c r="H13" s="51"/>
    </row>
    <row r="14" spans="1:10" x14ac:dyDescent="0.25">
      <c r="A14" s="199"/>
      <c r="B14" s="75"/>
      <c r="C14" s="102"/>
      <c r="D14" s="103"/>
      <c r="E14" s="41"/>
      <c r="F14" s="77"/>
      <c r="G14" s="14"/>
      <c r="H14" s="51"/>
    </row>
    <row r="15" spans="1:10" x14ac:dyDescent="0.25">
      <c r="A15" s="200"/>
      <c r="B15" s="95"/>
      <c r="C15" s="140"/>
      <c r="D15" s="97"/>
      <c r="E15" s="99"/>
      <c r="F15" s="100"/>
      <c r="G15" s="101"/>
      <c r="H15" s="51"/>
    </row>
    <row r="16" spans="1:10" x14ac:dyDescent="0.25">
      <c r="A16" s="82"/>
      <c r="B16" s="75" t="s">
        <v>881</v>
      </c>
      <c r="C16" s="87" t="s">
        <v>836</v>
      </c>
      <c r="D16" s="63"/>
      <c r="E16" s="41"/>
      <c r="F16" s="77" t="str">
        <f>IF(E16="x",COUNTA($E$2:E16),".")</f>
        <v>.</v>
      </c>
      <c r="G16" s="113" t="str">
        <f>IF(E16="x",C16,IF(AND(E16="x1",E17="x2",E18="x3"),"~ "&amp;C16&amp;CHAR(10)&amp;"~ "&amp;C17&amp;CHAR(10)&amp;"~ "&amp;C18,IF(AND(E16="x1",E17="x2"),"~ "&amp;C16&amp;CHAR(10)&amp;"~ "&amp;C17,IF(AND(E16="x1",E17="x1'"),C16&amp;" "&amp;C17,"---"))))</f>
        <v>---</v>
      </c>
      <c r="H16" s="51"/>
    </row>
    <row r="17" spans="1:8" x14ac:dyDescent="0.25">
      <c r="A17" s="82"/>
      <c r="B17" s="75" t="s">
        <v>882</v>
      </c>
      <c r="C17" s="87" t="s">
        <v>837</v>
      </c>
      <c r="D17" s="63"/>
      <c r="E17" s="41"/>
      <c r="F17" s="77" t="str">
        <f>IF(E17="x",COUNTA($E$2:E17),".")</f>
        <v>.</v>
      </c>
      <c r="G17" s="113" t="str">
        <f>IF(E17="x",C17,IF(AND(E17="x1",E18="x2",E19="x3"),"~ "&amp;C17&amp;CHAR(10)&amp;"~ "&amp;C18&amp;CHAR(10)&amp;"~ "&amp;C19,IF(AND(E17="x1",E18="x2"),"~ "&amp;C17&amp;CHAR(10)&amp;"~ "&amp;C18,IF(AND(E17="x1",E18="x1'"),C17&amp;" "&amp;C18,"---"))))</f>
        <v>---</v>
      </c>
      <c r="H17" s="51"/>
    </row>
    <row r="18" spans="1:8" x14ac:dyDescent="0.25">
      <c r="A18" s="82"/>
      <c r="B18" s="75" t="s">
        <v>886</v>
      </c>
      <c r="C18" s="87" t="s">
        <v>838</v>
      </c>
      <c r="D18" s="63"/>
      <c r="E18" s="41"/>
      <c r="F18" s="77" t="str">
        <f>IF(E18="x",COUNTA($E$2:E18),".")</f>
        <v>.</v>
      </c>
      <c r="G18" s="113" t="str">
        <f>IF(E18="x",C18,IF(AND(E18="x1",E19="x2",E20="x3"),"~ "&amp;C18&amp;CHAR(10)&amp;"~ "&amp;C19&amp;CHAR(10)&amp;"~ "&amp;C20,IF(AND(E18="x1",E19="x2"),"~ "&amp;C18&amp;CHAR(10)&amp;"~ "&amp;C19,IF(AND(E18="x1",E19="x1'"),C18&amp;" "&amp;C19,"---"))))</f>
        <v>---</v>
      </c>
      <c r="H18" s="51"/>
    </row>
    <row r="19" spans="1:8" x14ac:dyDescent="0.25">
      <c r="A19" s="82"/>
      <c r="B19" s="75" t="s">
        <v>887</v>
      </c>
      <c r="C19" s="87" t="s">
        <v>839</v>
      </c>
      <c r="D19" s="63"/>
      <c r="E19" s="41"/>
      <c r="F19" s="77" t="str">
        <f>IF(E19="x",COUNTA($E$2:E19),".")</f>
        <v>.</v>
      </c>
      <c r="G19" s="113" t="str">
        <f>IF(E19="x",C19,IF(AND(E19="x1",E20="x2",E21="x3"),"~ "&amp;C19&amp;CHAR(10)&amp;"~ "&amp;C20&amp;CHAR(10)&amp;"~ "&amp;C21,IF(AND(E19="x1",E20="x2"),"~ "&amp;C19&amp;CHAR(10)&amp;"~ "&amp;C20,IF(AND(E19="x1",E20="x1'"),C19&amp;" "&amp;C20,"---"))))</f>
        <v>---</v>
      </c>
      <c r="H19" s="51"/>
    </row>
    <row r="20" spans="1:8" x14ac:dyDescent="0.25">
      <c r="A20" s="82"/>
      <c r="B20" s="75" t="s">
        <v>885</v>
      </c>
      <c r="C20" s="87" t="s">
        <v>840</v>
      </c>
      <c r="D20" s="63" t="s">
        <v>841</v>
      </c>
      <c r="E20" s="41"/>
      <c r="F20" s="77" t="str">
        <f>IF(E20="x",COUNTA($E$2:E20),".")</f>
        <v>.</v>
      </c>
      <c r="G20" s="113" t="str">
        <f>IF(E20="x",C20,IF(AND(E20="x1",E21="x2",E22="x3"),"~ "&amp;C20&amp;CHAR(10)&amp;"~ "&amp;C21&amp;CHAR(10)&amp;"~ "&amp;C22,IF(AND(E20="x1",E21="x2"),"~ "&amp;C20&amp;CHAR(10)&amp;"~ "&amp;C21,IF(AND(E20="x1",E21="x1'"),C20&amp;" "&amp;C21,"---"))))</f>
        <v>---</v>
      </c>
      <c r="H20" s="51"/>
    </row>
    <row r="21" spans="1:8" x14ac:dyDescent="0.25">
      <c r="A21" s="82"/>
      <c r="B21" s="75" t="s">
        <v>888</v>
      </c>
      <c r="C21" s="102" t="s">
        <v>842</v>
      </c>
      <c r="D21" s="114" t="s">
        <v>843</v>
      </c>
      <c r="E21" s="41"/>
      <c r="F21" s="77" t="str">
        <f>IF(E21="x",COUNTA($E$2:E21),".")</f>
        <v>.</v>
      </c>
      <c r="G21" s="113" t="str">
        <f>IF(E21="x",C21,IF(AND(E21="x1",E22="x2",E23="x3"),"~ "&amp;C21&amp;CHAR(10)&amp;"~ "&amp;C22&amp;CHAR(10)&amp;"~ "&amp;C23,IF(AND(E21="x1",E22="x2"),"~ "&amp;C21&amp;CHAR(10)&amp;"~ "&amp;C22,IF(AND(E21="x1",E22="x1'"),C21&amp;" "&amp;C22,"---"))))</f>
        <v>---</v>
      </c>
      <c r="H21" s="51"/>
    </row>
    <row r="22" spans="1:8" x14ac:dyDescent="0.25">
      <c r="A22" s="82"/>
      <c r="B22" s="75" t="s">
        <v>889</v>
      </c>
      <c r="C22" s="87" t="s">
        <v>844</v>
      </c>
      <c r="D22" s="63"/>
      <c r="E22" s="41"/>
      <c r="F22" s="77" t="str">
        <f>IF(E22="x",COUNTA($E$2:E22),".")</f>
        <v>.</v>
      </c>
      <c r="G22" s="113" t="str">
        <f>IF(E22="x",C22,IF(AND(E22="x1",E23="x2",E24="x3"),"~ "&amp;C22&amp;CHAR(10)&amp;"~ "&amp;C23&amp;CHAR(10)&amp;"~ "&amp;C24,IF(AND(E22="x1",E23="x2"),"~ "&amp;C22&amp;CHAR(10)&amp;"~ "&amp;C23,IF(AND(E22="x1",E23="x1'"),C22&amp;" "&amp;C23,"---"))))</f>
        <v>---</v>
      </c>
      <c r="H22" s="51"/>
    </row>
    <row r="23" spans="1:8" x14ac:dyDescent="0.25">
      <c r="A23" s="82"/>
      <c r="B23" s="75"/>
      <c r="C23" s="87" t="s">
        <v>845</v>
      </c>
      <c r="D23" s="63"/>
      <c r="E23" s="41"/>
      <c r="F23" s="77" t="str">
        <f>IF(E23="x",COUNTA($E$2:E23),".")</f>
        <v>.</v>
      </c>
      <c r="G23" s="113" t="str">
        <f>IF(E23="x",C23,IF(AND(E23="x1",E24="x2",E25="x3"),"~ "&amp;C23&amp;CHAR(10)&amp;"~ "&amp;C24&amp;CHAR(10)&amp;"~ "&amp;C25,IF(AND(E23="x1",E24="x2"),"~ "&amp;C23&amp;CHAR(10)&amp;"~ "&amp;C24,IF(AND(E23="x1",E24="x1'"),C23&amp;" "&amp;C24,"---"))))</f>
        <v>---</v>
      </c>
      <c r="H23" s="51"/>
    </row>
    <row r="24" spans="1:8" x14ac:dyDescent="0.25">
      <c r="A24" s="82"/>
      <c r="B24" s="75"/>
      <c r="C24" s="87"/>
      <c r="D24" s="63"/>
      <c r="E24" s="41"/>
      <c r="F24" s="77" t="str">
        <f>IF(E24="x",COUNTA($E$2:E24),".")</f>
        <v>.</v>
      </c>
      <c r="G24" s="113" t="str">
        <f>IF(E24="x",C24,IF(AND(E24="x1",E25="x2",E26="x3"),"~ "&amp;C24&amp;CHAR(10)&amp;"~ "&amp;C25&amp;CHAR(10)&amp;"~ "&amp;C26,IF(AND(E24="x1",E25="x2"),"~ "&amp;C24&amp;CHAR(10)&amp;"~ "&amp;C25,IF(AND(E24="x1",E25="x1'"),C24&amp;" "&amp;C25,"---"))))</f>
        <v>---</v>
      </c>
      <c r="H24" s="51"/>
    </row>
    <row r="25" spans="1:8" x14ac:dyDescent="0.25">
      <c r="A25" s="82"/>
      <c r="B25" s="75" t="s">
        <v>890</v>
      </c>
      <c r="C25" s="87" t="s">
        <v>846</v>
      </c>
      <c r="D25" s="63"/>
      <c r="E25" s="41"/>
      <c r="F25" s="77" t="str">
        <f>IF(E25="x",COUNTA($E$2:E25),".")</f>
        <v>.</v>
      </c>
      <c r="G25" s="113" t="str">
        <f>IF(E25="x",C25,IF(AND(E25="x1",E26="x2",E27="x3"),"~ "&amp;C25&amp;CHAR(10)&amp;"~ "&amp;C26&amp;CHAR(10)&amp;"~ "&amp;C29,IF(AND(E25="x1",E26="x2"),"~ "&amp;C25&amp;CHAR(10)&amp;"~ "&amp;C26,IF(AND(E25="x1",E26="x1'"),C25&amp;" "&amp;C26,"---"))))</f>
        <v>---</v>
      </c>
      <c r="H25" s="51"/>
    </row>
    <row r="26" spans="1:8" x14ac:dyDescent="0.25">
      <c r="A26" s="82" t="s">
        <v>166</v>
      </c>
      <c r="B26" s="75" t="s">
        <v>891</v>
      </c>
      <c r="C26" s="87" t="s">
        <v>847</v>
      </c>
      <c r="D26" s="63"/>
      <c r="E26" s="41"/>
      <c r="F26" s="77" t="str">
        <f>IF(E26="x",COUNTA($E$2:E26),".")</f>
        <v>.</v>
      </c>
      <c r="G26" s="113" t="str">
        <f>IF(E26="x",C26,IF(AND(E26="x1",E27="x2",E28="x3"),"~ "&amp;C26&amp;CHAR(10)&amp;"~ "&amp;C29&amp;CHAR(10)&amp;"~ "&amp;C30,IF(AND(E26="x1",E27="x2"),"~ "&amp;C26&amp;CHAR(10)&amp;"~ "&amp;C29,IF(AND(E26="x1",E27="x1'"),C26&amp;" "&amp;C29,"---"))))</f>
        <v>---</v>
      </c>
      <c r="H26" s="51"/>
    </row>
    <row r="27" spans="1:8" x14ac:dyDescent="0.25">
      <c r="A27" s="82"/>
      <c r="B27" s="75" t="s">
        <v>892</v>
      </c>
      <c r="C27" s="87" t="s">
        <v>848</v>
      </c>
      <c r="D27" s="63"/>
      <c r="E27" s="41"/>
      <c r="F27" s="77" t="str">
        <f>IF(E27="x",COUNTA($E$2:E27),".")</f>
        <v>.</v>
      </c>
      <c r="G27" s="113" t="str">
        <f>IF(E27="x",C29,IF(AND(E27="x1",E28="x2",E29="x3"),"~ "&amp;C29&amp;CHAR(10)&amp;"~ "&amp;C30&amp;CHAR(10)&amp;"~ "&amp;C31,IF(AND(E27="x1",E28="x2"),"~ "&amp;C29&amp;CHAR(10)&amp;"~ "&amp;C30,IF(AND(E27="x1",E28="x1'"),C29&amp;" "&amp;C30,"---"))))</f>
        <v>---</v>
      </c>
      <c r="H27" s="51"/>
    </row>
    <row r="28" spans="1:8" x14ac:dyDescent="0.25">
      <c r="A28" s="82"/>
      <c r="B28" s="75"/>
      <c r="C28" s="87" t="s">
        <v>849</v>
      </c>
      <c r="D28" s="63"/>
      <c r="E28" s="41"/>
      <c r="F28" s="77" t="str">
        <f>IF(E28="x",COUNTA($E$2:E28),".")</f>
        <v>.</v>
      </c>
      <c r="G28" s="113" t="str">
        <f>IF(E28="x",C30,IF(AND(E28="x1",E29="x2",E30="x3"),"~ "&amp;C30&amp;CHAR(10)&amp;"~ "&amp;C31&amp;CHAR(10)&amp;"~ "&amp;C32,IF(AND(E28="x1",E29="x2"),"~ "&amp;C30&amp;CHAR(10)&amp;"~ "&amp;C31,IF(AND(E28="x1",E29="x1'"),C30&amp;" "&amp;C31,"---"))))</f>
        <v>---</v>
      </c>
      <c r="H28" s="51"/>
    </row>
    <row r="29" spans="1:8" x14ac:dyDescent="0.25">
      <c r="A29" s="82"/>
      <c r="B29" s="75" t="s">
        <v>893</v>
      </c>
      <c r="C29" s="197" t="s">
        <v>857</v>
      </c>
      <c r="D29" s="63"/>
      <c r="E29" s="41"/>
      <c r="F29" s="77" t="str">
        <f>IF(E29="x",COUNTA($E$2:E29),".")</f>
        <v>.</v>
      </c>
      <c r="G29" s="113" t="str">
        <f>IF(E29="x",C31,IF(AND(E29="x1",E30="x2",E31="x3"),"~ "&amp;C31&amp;CHAR(10)&amp;"~ "&amp;C32&amp;CHAR(10)&amp;"~ "&amp;C33,IF(AND(E29="x1",E30="x2"),"~ "&amp;C31&amp;CHAR(10)&amp;"~ "&amp;C32,IF(AND(E29="x1",E30="x1'"),C31&amp;" "&amp;C32,"---"))))</f>
        <v>---</v>
      </c>
      <c r="H29" s="51"/>
    </row>
    <row r="30" spans="1:8" x14ac:dyDescent="0.25">
      <c r="A30" s="82"/>
      <c r="B30" s="75" t="s">
        <v>883</v>
      </c>
      <c r="C30" s="38" t="s">
        <v>855</v>
      </c>
      <c r="D30" s="63"/>
      <c r="E30" s="41"/>
      <c r="F30" s="77" t="str">
        <f>IF(E30="x",COUNTA($E$2:E30),".")</f>
        <v>.</v>
      </c>
      <c r="G30" s="113" t="str">
        <f>IF(E30="x",C32,IF(AND(E30="x1",E31="x2",E32="x3"),"~ "&amp;C32&amp;CHAR(10)&amp;"~ "&amp;C33&amp;CHAR(10)&amp;"~ "&amp;C34,IF(AND(E30="x1",E31="x2"),"~ "&amp;C32&amp;CHAR(10)&amp;"~ "&amp;C33,IF(AND(E30="x1",E31="x1'"),C32&amp;" "&amp;C33,"---"))))</f>
        <v>---</v>
      </c>
      <c r="H30" s="51"/>
    </row>
    <row r="31" spans="1:8" x14ac:dyDescent="0.25">
      <c r="A31" s="82"/>
      <c r="B31" s="75" t="s">
        <v>897</v>
      </c>
      <c r="C31" s="87" t="s">
        <v>850</v>
      </c>
      <c r="D31" s="63"/>
      <c r="E31" s="41"/>
      <c r="F31" s="77" t="str">
        <f>IF(E31="x",COUNTA($E$2:E31),".")</f>
        <v>.</v>
      </c>
      <c r="G31" s="113" t="str">
        <f>IF(E31="x",C33,IF(AND(E31="x1",E32="x2",E33="x3"),"~ "&amp;C33&amp;CHAR(10)&amp;"~ "&amp;C34&amp;CHAR(10)&amp;"~ "&amp;C35,IF(AND(E31="x1",E32="x2"),"~ "&amp;C33&amp;CHAR(10)&amp;"~ "&amp;C34,IF(AND(E31="x1",E32="x1'"),C33&amp;" "&amp;C34,"---"))))</f>
        <v>---</v>
      </c>
      <c r="H31" s="51"/>
    </row>
    <row r="32" spans="1:8" x14ac:dyDescent="0.25">
      <c r="A32" s="82"/>
      <c r="B32" s="75" t="s">
        <v>898</v>
      </c>
      <c r="C32" s="87" t="s">
        <v>851</v>
      </c>
      <c r="D32" s="63"/>
      <c r="E32" s="41"/>
      <c r="F32" s="77" t="str">
        <f>IF(E32="x",COUNTA($E$2:E32),".")</f>
        <v>.</v>
      </c>
      <c r="G32" s="113" t="str">
        <f>IF(E32="x",C34,IF(AND(E32="x1",E33="x2",E34="x3"),"~ "&amp;C34&amp;CHAR(10)&amp;"~ "&amp;C35&amp;CHAR(10)&amp;"~ "&amp;C36,IF(AND(E32="x1",E33="x2"),"~ "&amp;C34&amp;CHAR(10)&amp;"~ "&amp;C35,IF(AND(E32="x1",E33="x1'"),C34&amp;" "&amp;C35,"---"))))</f>
        <v>---</v>
      </c>
      <c r="H32" s="51"/>
    </row>
    <row r="33" spans="1:8" x14ac:dyDescent="0.25">
      <c r="A33" s="82"/>
      <c r="B33" s="75" t="s">
        <v>899</v>
      </c>
      <c r="C33" s="87" t="s">
        <v>852</v>
      </c>
      <c r="D33" s="63"/>
      <c r="E33" s="41"/>
      <c r="F33" s="77" t="str">
        <f>IF(E33="x",COUNTA($E$2:E33),".")</f>
        <v>.</v>
      </c>
      <c r="G33" s="113" t="str">
        <f>IF(E33="x",C35,IF(AND(E33="x1",E34="x2",E35="x3"),"~ "&amp;C35&amp;CHAR(10)&amp;"~ "&amp;C36&amp;CHAR(10)&amp;"~ "&amp;C37,IF(AND(E33="x1",E34="x2"),"~ "&amp;C35&amp;CHAR(10)&amp;"~ "&amp;C36,IF(AND(E33="x1",E34="x1'"),C35&amp;" "&amp;C36,"---"))))</f>
        <v>---</v>
      </c>
      <c r="H33" s="51"/>
    </row>
    <row r="34" spans="1:8" x14ac:dyDescent="0.25">
      <c r="A34" s="82"/>
      <c r="B34" s="75" t="s">
        <v>884</v>
      </c>
      <c r="C34" s="87" t="s">
        <v>853</v>
      </c>
      <c r="D34" s="63"/>
      <c r="E34" s="41"/>
      <c r="F34" s="77" t="str">
        <f>IF(E34="x",COUNTA($E$2:E34),".")</f>
        <v>.</v>
      </c>
      <c r="G34" s="113" t="str">
        <f>IF(E34="x",C36,IF(AND(E34="x1",E35="x2",E36="x3"),"~ "&amp;C36&amp;CHAR(10)&amp;"~ "&amp;C37&amp;CHAR(10)&amp;"~ "&amp;C38,IF(AND(E34="x1",E35="x2"),"~ "&amp;C36&amp;CHAR(10)&amp;"~ "&amp;C37,IF(AND(E34="x1",E35="x1'"),C36&amp;" "&amp;C37,"---"))))</f>
        <v>---</v>
      </c>
      <c r="H34" s="51"/>
    </row>
    <row r="35" spans="1:8" x14ac:dyDescent="0.25">
      <c r="A35" s="82"/>
      <c r="B35" s="75"/>
      <c r="C35" s="196" t="s">
        <v>854</v>
      </c>
      <c r="D35" s="63"/>
      <c r="E35" s="41"/>
      <c r="F35" s="77" t="str">
        <f>IF(E35="x",COUNTA($E$2:E35),".")</f>
        <v>.</v>
      </c>
      <c r="G35" s="113" t="str">
        <f>IF(E35="x",C37,IF(AND(E35="x1",E36="x2",E37="x3"),"~ "&amp;C37&amp;CHAR(10)&amp;"~ "&amp;C38&amp;CHAR(10)&amp;"~ "&amp;#REF!,IF(AND(E35="x1",E36="x2"),"~ "&amp;C37&amp;CHAR(10)&amp;"~ "&amp;C38,IF(AND(E35="x1",E36="x1'"),C37&amp;" "&amp;C38,"---"))))</f>
        <v>---</v>
      </c>
      <c r="H35" s="51"/>
    </row>
    <row r="36" spans="1:8" x14ac:dyDescent="0.25">
      <c r="A36" s="82"/>
      <c r="B36" s="75" t="s">
        <v>900</v>
      </c>
      <c r="C36" s="197" t="s">
        <v>856</v>
      </c>
      <c r="D36" s="63"/>
      <c r="E36" s="41"/>
      <c r="F36" s="77" t="str">
        <f>IF(E36="x",COUNTA($E$2:E36),".")</f>
        <v>.</v>
      </c>
      <c r="G36" s="113" t="str">
        <f>IF(E36="x",C38,IF(AND(E36="x1",E37="x2",E38="x3"),"~ "&amp;C38&amp;CHAR(10)&amp;"~ "&amp;#REF!&amp;CHAR(10)&amp;"~ "&amp;#REF!,IF(AND(E36="x1",E37="x2"),"~ "&amp;C38&amp;CHAR(10)&amp;"~ "&amp;#REF!,IF(AND(E36="x1",E37="x1'"),C38&amp;" "&amp;#REF!,"---"))))</f>
        <v>---</v>
      </c>
      <c r="H36" s="51"/>
    </row>
    <row r="37" spans="1:8" x14ac:dyDescent="0.25">
      <c r="A37" s="82" t="s">
        <v>166</v>
      </c>
      <c r="B37" s="75" t="s">
        <v>895</v>
      </c>
      <c r="C37" s="38" t="s">
        <v>858</v>
      </c>
      <c r="D37" s="63"/>
      <c r="E37" s="41"/>
      <c r="F37" s="77" t="str">
        <f>IF(E37="x",COUNTA($E$2:E37),".")</f>
        <v>.</v>
      </c>
      <c r="G37" s="113" t="str">
        <f>IF(E37="x",#REF!,IF(AND(E37="x1",E38="x2",E39="x3"),"~ "&amp;#REF!&amp;CHAR(10)&amp;"~ "&amp;#REF!&amp;CHAR(10)&amp;"~ "&amp;C39,IF(AND(E37="x1",E38="x2"),"~ "&amp;#REF!&amp;CHAR(10)&amp;"~ "&amp;#REF!,IF(AND(E37="x1",E38="x1'"),#REF!&amp;" "&amp;#REF!,"---"))))</f>
        <v>---</v>
      </c>
      <c r="H37" s="51"/>
    </row>
    <row r="38" spans="1:8" x14ac:dyDescent="0.25">
      <c r="A38" s="82" t="s">
        <v>166</v>
      </c>
      <c r="B38" s="75" t="s">
        <v>894</v>
      </c>
      <c r="C38" s="38" t="s">
        <v>859</v>
      </c>
      <c r="D38" s="63"/>
      <c r="E38" s="41"/>
      <c r="F38" s="77" t="str">
        <f>IF(E38="x",COUNTA($E$2:E38),".")</f>
        <v>.</v>
      </c>
      <c r="G38" s="113" t="str">
        <f>IF(E38="x",#REF!,IF(AND(E38="x1",E39="x2",E40="x3"),"~ "&amp;#REF!&amp;CHAR(10)&amp;"~ "&amp;C39&amp;CHAR(10)&amp;"~ "&amp;C40,IF(AND(E38="x1",E39="x2"),"~ "&amp;#REF!&amp;CHAR(10)&amp;"~ "&amp;C39,IF(AND(E38="x1",E39="x1'"),#REF!&amp;" "&amp;C39,"---"))))</f>
        <v>---</v>
      </c>
      <c r="H38" s="51"/>
    </row>
    <row r="39" spans="1:8" x14ac:dyDescent="0.25">
      <c r="A39" s="82" t="s">
        <v>166</v>
      </c>
      <c r="B39" s="75" t="s">
        <v>896</v>
      </c>
      <c r="C39" s="38" t="s">
        <v>860</v>
      </c>
      <c r="D39" s="63"/>
      <c r="E39" s="41"/>
      <c r="F39" s="77" t="str">
        <f>IF(E39="x",COUNTA($E$2:E39),".")</f>
        <v>.</v>
      </c>
      <c r="G39" s="113" t="str">
        <f>IF(E39="x",C39,IF(AND(E39="x1",E40="x2",E41="x3"),"~ "&amp;C39&amp;CHAR(10)&amp;"~ "&amp;C40&amp;CHAR(10)&amp;"~ "&amp;C41,IF(AND(E39="x1",E40="x2"),"~ "&amp;C39&amp;CHAR(10)&amp;"~ "&amp;C40,IF(AND(E39="x1",E40="x1'"),C39&amp;" "&amp;C40,"---"))))</f>
        <v>---</v>
      </c>
      <c r="H39" s="51"/>
    </row>
    <row r="40" spans="1:8" x14ac:dyDescent="0.25">
      <c r="A40" s="82" t="s">
        <v>166</v>
      </c>
      <c r="B40" s="75" t="s">
        <v>901</v>
      </c>
      <c r="C40" s="38" t="s">
        <v>861</v>
      </c>
      <c r="D40" s="63"/>
      <c r="E40" s="41"/>
      <c r="F40" s="77" t="str">
        <f>IF(E40="x",COUNTA($E$2:E40),".")</f>
        <v>.</v>
      </c>
      <c r="G40" s="113" t="str">
        <f>IF(E40="x",C40,IF(AND(E40="x1",E41="x2",E42="x3"),"~ "&amp;C40&amp;CHAR(10)&amp;"~ "&amp;C41&amp;CHAR(10)&amp;"~ "&amp;C42,IF(AND(E40="x1",E41="x2"),"~ "&amp;C40&amp;CHAR(10)&amp;"~ "&amp;C41,IF(AND(E40="x1",E41="x1'"),C40&amp;" "&amp;C41,"---"))))</f>
        <v>---</v>
      </c>
      <c r="H40" s="51"/>
    </row>
    <row r="41" spans="1:8" x14ac:dyDescent="0.25">
      <c r="A41" s="82"/>
      <c r="B41" s="75"/>
      <c r="C41" s="38" t="s">
        <v>862</v>
      </c>
      <c r="D41" s="63"/>
      <c r="E41" s="41"/>
      <c r="F41" s="77" t="str">
        <f>IF(E41="x",COUNTA($E$2:E41),".")</f>
        <v>.</v>
      </c>
      <c r="G41" s="113" t="str">
        <f>IF(E41="x",C41,IF(AND(E41="x1",E42="x2",E43="x3"),"~ "&amp;C41&amp;CHAR(10)&amp;"~ "&amp;C42&amp;CHAR(10)&amp;"~ "&amp;C43,IF(AND(E41="x1",E42="x2"),"~ "&amp;C41&amp;CHAR(10)&amp;"~ "&amp;C42,IF(AND(E41="x1",E42="x1'"),C41&amp;" "&amp;C42,"---"))))</f>
        <v>---</v>
      </c>
      <c r="H41" s="51"/>
    </row>
    <row r="42" spans="1:8" x14ac:dyDescent="0.25">
      <c r="A42" s="82"/>
      <c r="B42" s="75" t="s">
        <v>865</v>
      </c>
      <c r="C42" s="38" t="s">
        <v>863</v>
      </c>
      <c r="D42" s="63"/>
      <c r="E42" s="41"/>
      <c r="F42" s="77" t="str">
        <f>IF(E42="x",COUNTA($E$2:E42),".")</f>
        <v>.</v>
      </c>
      <c r="G42" s="113" t="str">
        <f>IF(E42="x",C42,IF(AND(E42="x1",E43="x2",E44="x3"),"~ "&amp;C42&amp;CHAR(10)&amp;"~ "&amp;C43&amp;CHAR(10)&amp;"~ "&amp;C44,IF(AND(E42="x1",E43="x2"),"~ "&amp;C42&amp;CHAR(10)&amp;"~ "&amp;C43,IF(AND(E42="x1",E43="x1'"),C42&amp;" "&amp;C43,"---"))))</f>
        <v>---</v>
      </c>
      <c r="H42" s="51"/>
    </row>
    <row r="43" spans="1:8" x14ac:dyDescent="0.25">
      <c r="A43" s="82"/>
      <c r="B43" s="75" t="s">
        <v>864</v>
      </c>
      <c r="C43" s="38" t="s">
        <v>866</v>
      </c>
      <c r="D43" s="63"/>
      <c r="E43" s="41"/>
      <c r="F43" s="77" t="str">
        <f>IF(E43="x",COUNTA($E$2:E43),".")</f>
        <v>.</v>
      </c>
      <c r="G43" s="113" t="str">
        <f>IF(E43="x",C43,IF(AND(E43="x1",E44="x2",E45="x3"),"~ "&amp;C43&amp;CHAR(10)&amp;"~ "&amp;C44&amp;CHAR(10)&amp;"~ "&amp;C45,IF(AND(E43="x1",E44="x2"),"~ "&amp;C43&amp;CHAR(10)&amp;"~ "&amp;C44,IF(AND(E43="x1",E44="x1'"),C43&amp;" "&amp;C44,"---"))))</f>
        <v>---</v>
      </c>
      <c r="H43" s="51"/>
    </row>
    <row r="44" spans="1:8" x14ac:dyDescent="0.25">
      <c r="A44" s="82"/>
      <c r="B44" s="75"/>
      <c r="C44" s="38" t="s">
        <v>867</v>
      </c>
      <c r="D44" s="63"/>
      <c r="E44" s="41"/>
      <c r="F44" s="77" t="str">
        <f>IF(E44="x",COUNTA($E$2:E44),".")</f>
        <v>.</v>
      </c>
      <c r="G44" s="113" t="str">
        <f>IF(E44="x",C44,IF(AND(E44="x1",E45="x2",E46="x3"),"~ "&amp;C44&amp;CHAR(10)&amp;"~ "&amp;C45&amp;CHAR(10)&amp;"~ "&amp;C46,IF(AND(E44="x1",E45="x2"),"~ "&amp;C44&amp;CHAR(10)&amp;"~ "&amp;C45,IF(AND(E44="x1",E45="x1'"),C44&amp;" "&amp;C45,"---"))))</f>
        <v>---</v>
      </c>
      <c r="H44" s="51"/>
    </row>
    <row r="45" spans="1:8" x14ac:dyDescent="0.25">
      <c r="A45" s="82"/>
      <c r="B45" s="75" t="s">
        <v>869</v>
      </c>
      <c r="C45" s="197" t="s">
        <v>868</v>
      </c>
      <c r="D45" s="63" t="s">
        <v>879</v>
      </c>
      <c r="E45" s="41"/>
      <c r="F45" s="77" t="str">
        <f>IF(E45="x",COUNTA($E$2:E45),".")</f>
        <v>.</v>
      </c>
      <c r="G45" s="113" t="str">
        <f>IF(E45="x",C45,IF(AND(E45="x1",E46="x2",E47="x3"),"~ "&amp;C45&amp;CHAR(10)&amp;"~ "&amp;C46&amp;CHAR(10)&amp;"~ "&amp;C47,IF(AND(E45="x1",E46="x2"),"~ "&amp;C45&amp;CHAR(10)&amp;"~ "&amp;C46,IF(AND(E45="x1",E46="x1'"),C45&amp;" "&amp;C46,"---"))))</f>
        <v>---</v>
      </c>
      <c r="H45" s="51"/>
    </row>
    <row r="46" spans="1:8" x14ac:dyDescent="0.25">
      <c r="A46" s="82"/>
      <c r="B46" s="75"/>
      <c r="C46" s="38" t="s">
        <v>870</v>
      </c>
      <c r="D46" s="63"/>
      <c r="E46" s="41"/>
      <c r="F46" s="77" t="str">
        <f>IF(E46="x",COUNTA($E$2:E46),".")</f>
        <v>.</v>
      </c>
      <c r="G46" s="113" t="str">
        <f>IF(E46="x",C46,IF(AND(E46="x1",E47="x2",E48="x3"),"~ "&amp;C46&amp;CHAR(10)&amp;"~ "&amp;C47&amp;CHAR(10)&amp;"~ "&amp;C50,IF(AND(E46="x1",E47="x2"),"~ "&amp;C46&amp;CHAR(10)&amp;"~ "&amp;C47,IF(AND(E46="x1",E47="x1'"),C46&amp;" "&amp;C47,"---"))))</f>
        <v>---</v>
      </c>
      <c r="H46" s="51"/>
    </row>
    <row r="47" spans="1:8" x14ac:dyDescent="0.25">
      <c r="A47" s="82"/>
      <c r="B47" s="75"/>
      <c r="C47" s="38" t="s">
        <v>873</v>
      </c>
      <c r="D47" s="63"/>
      <c r="E47" s="41"/>
      <c r="F47" s="77" t="str">
        <f>IF(E47="x",COUNTA($E$2:E47),".")</f>
        <v>.</v>
      </c>
      <c r="G47" s="113" t="str">
        <f>IF(E47="x",C47,IF(AND(E47="x1",E48="x2",E49="x3"),"~ "&amp;C47&amp;CHAR(10)&amp;"~ "&amp;C50&amp;CHAR(10)&amp;"~ "&amp;C51,IF(AND(E47="x1",E48="x2"),"~ "&amp;C47&amp;CHAR(10)&amp;"~ "&amp;C50,IF(AND(E47="x1",E48="x1'"),C47&amp;" "&amp;C50,"---"))))</f>
        <v>---</v>
      </c>
      <c r="H47" s="51"/>
    </row>
    <row r="48" spans="1:8" x14ac:dyDescent="0.25">
      <c r="A48" s="82"/>
      <c r="B48" s="75"/>
      <c r="C48" s="38" t="s">
        <v>877</v>
      </c>
      <c r="D48" s="63"/>
      <c r="E48" s="41"/>
      <c r="F48" s="77" t="str">
        <f>IF(E48="x",COUNTA($E$2:E48),".")</f>
        <v>.</v>
      </c>
      <c r="G48" s="113" t="str">
        <f>IF(E48="x",C50,IF(AND(E48="x1",E49="x2",E50="x3"),"~ "&amp;C50&amp;CHAR(10)&amp;"~ "&amp;C51&amp;CHAR(10)&amp;"~ "&amp;C52,IF(AND(E48="x1",E49="x2"),"~ "&amp;C50&amp;CHAR(10)&amp;"~ "&amp;C51,IF(AND(E48="x1",E49="x1'"),C50&amp;" "&amp;C51,"---"))))</f>
        <v>---</v>
      </c>
      <c r="H48" s="51"/>
    </row>
    <row r="49" spans="1:8" x14ac:dyDescent="0.25">
      <c r="A49" s="82"/>
      <c r="B49" s="75"/>
      <c r="C49" s="197" t="s">
        <v>878</v>
      </c>
      <c r="D49" s="63"/>
      <c r="E49" s="41"/>
      <c r="F49" s="77" t="str">
        <f>IF(E49="x",COUNTA($E$2:E49),".")</f>
        <v>.</v>
      </c>
      <c r="G49" s="113" t="str">
        <f>IF(E49="x",C51,IF(AND(E49="x1",E50="x2",E51="x3"),"~ "&amp;C51&amp;CHAR(10)&amp;"~ "&amp;C52&amp;CHAR(10)&amp;"~ "&amp;C53,IF(AND(E49="x1",E50="x2"),"~ "&amp;C51&amp;CHAR(10)&amp;"~ "&amp;C52,IF(AND(E49="x1",E50="x1'"),C51&amp;" "&amp;C52,"---"))))</f>
        <v>---</v>
      </c>
      <c r="H49" s="51"/>
    </row>
    <row r="50" spans="1:8" x14ac:dyDescent="0.25">
      <c r="A50" s="82"/>
      <c r="B50" s="75"/>
      <c r="C50" s="38" t="s">
        <v>871</v>
      </c>
      <c r="D50" s="63"/>
      <c r="E50" s="41"/>
      <c r="F50" s="77" t="str">
        <f>IF(E50="x",COUNTA($E$2:E50),".")</f>
        <v>.</v>
      </c>
      <c r="G50" s="113" t="str">
        <f>IF(E50="x",C52,IF(AND(E50="x1",E51="x2",E52="x3"),"~ "&amp;C52&amp;CHAR(10)&amp;"~ "&amp;C53&amp;CHAR(10)&amp;"~ "&amp;C54,IF(AND(E50="x1",E51="x2"),"~ "&amp;C52&amp;CHAR(10)&amp;"~ "&amp;C53,IF(AND(E50="x1",E51="x1'"),C52&amp;" "&amp;C53,"---"))))</f>
        <v>---</v>
      </c>
      <c r="H50" s="51"/>
    </row>
    <row r="51" spans="1:8" x14ac:dyDescent="0.25">
      <c r="A51" s="82"/>
      <c r="B51" s="75" t="s">
        <v>902</v>
      </c>
      <c r="C51" s="38" t="s">
        <v>872</v>
      </c>
      <c r="D51" s="63"/>
      <c r="E51" s="41"/>
      <c r="F51" s="77" t="str">
        <f>IF(E51="x",COUNTA($E$2:E51),".")</f>
        <v>.</v>
      </c>
      <c r="G51" s="113" t="str">
        <f>IF(E51="x",C53,IF(AND(E51="x1",E52="x2",E53="x3"),"~ "&amp;C53&amp;CHAR(10)&amp;"~ "&amp;C54&amp;CHAR(10)&amp;"~ "&amp;[1]Next!B36,IF(AND(E51="x1",E52="x2"),"~ "&amp;C53&amp;CHAR(10)&amp;"~ "&amp;C54,IF(AND(E51="x1",E52="x1'"),C53&amp;" "&amp;C54,"---"))))</f>
        <v>---</v>
      </c>
      <c r="H51" s="51"/>
    </row>
    <row r="52" spans="1:8" x14ac:dyDescent="0.25">
      <c r="A52" s="82"/>
      <c r="B52" s="75" t="s">
        <v>904</v>
      </c>
      <c r="C52" s="38" t="s">
        <v>903</v>
      </c>
      <c r="D52" s="63"/>
      <c r="E52" s="41"/>
      <c r="F52" s="77" t="str">
        <f>IF(E52="x",COUNTA($E$2:E52),".")</f>
        <v>.</v>
      </c>
      <c r="G52" s="113" t="str">
        <f>IF(E52="x",C54,IF(AND(E52="x1",E53="x2",E54="x3"),"~ "&amp;C54&amp;CHAR(10)&amp;"~ "&amp;C55&amp;CHAR(10)&amp;"~ "&amp;[1]Next!B37,IF(AND(E52="x1",E53="x2"),"~ "&amp;C54&amp;CHAR(10)&amp;"~ "&amp;C55,IF(AND(E52="x1",E53="x1'"),C54&amp;" "&amp;C55,"---"))))</f>
        <v>---</v>
      </c>
      <c r="H52" s="51"/>
    </row>
    <row r="53" spans="1:8" x14ac:dyDescent="0.25">
      <c r="A53" s="82"/>
      <c r="B53" s="75" t="s">
        <v>905</v>
      </c>
      <c r="C53" s="38" t="s">
        <v>874</v>
      </c>
      <c r="D53" s="63"/>
      <c r="E53" s="41"/>
      <c r="F53" s="77" t="str">
        <f>IF(E53="x",COUNTA($E$2:E53),".")</f>
        <v>.</v>
      </c>
      <c r="G53" s="113" t="str">
        <f>IF(E53="x",C55,IF(AND(E53="x1",E54="x2",E55="x3"),"~ "&amp;C55&amp;CHAR(10)&amp;"~ "&amp;C56&amp;CHAR(10)&amp;"~ "&amp;[1]Next!E41,IF(AND(E53="x1",E54="x2"),"~ "&amp;C55&amp;CHAR(10)&amp;"~ "&amp;C56,IF(AND(E53="x1",E54="x1'"),C55&amp;" "&amp;C56,"---"))))</f>
        <v>---</v>
      </c>
      <c r="H53" s="51"/>
    </row>
    <row r="54" spans="1:8" x14ac:dyDescent="0.25">
      <c r="A54" s="82"/>
      <c r="B54" s="75"/>
      <c r="C54" s="38" t="s">
        <v>875</v>
      </c>
      <c r="D54" s="63"/>
      <c r="E54" s="41"/>
      <c r="F54" s="77" t="str">
        <f>IF(E54="x",COUNTA($E$2:E54),".")</f>
        <v>.</v>
      </c>
      <c r="G54" s="113" t="str">
        <f>IF(E54="x",C56,IF(AND(E54="x1",E55="x2",E56="x3"),"~ "&amp;C56&amp;CHAR(10)&amp;"~ "&amp;C57&amp;CHAR(10)&amp;"~ "&amp;[1]Next!E42,IF(AND(E54="x1",E55="x2"),"~ "&amp;C56&amp;CHAR(10)&amp;"~ "&amp;C57,IF(AND(E54="x1",E55="x1'"),C56&amp;" "&amp;C57,"---"))))</f>
        <v>---</v>
      </c>
      <c r="H54" s="51"/>
    </row>
    <row r="55" spans="1:8" ht="15.75" thickBot="1" x14ac:dyDescent="0.3">
      <c r="A55" s="83"/>
      <c r="B55" s="76" t="s">
        <v>906</v>
      </c>
      <c r="C55" s="84" t="s">
        <v>876</v>
      </c>
      <c r="D55" s="66"/>
      <c r="E55" s="43"/>
      <c r="F55" s="78" t="str">
        <f>IF(E55="x",COUNTA($E$2:E55),".")</f>
        <v>.</v>
      </c>
      <c r="G55" s="147" t="str">
        <f>IF(E55="x",C57,IF(AND(E55="x1",E56="x2",E57="x3"),"~ "&amp;C57&amp;CHAR(10)&amp;"~ "&amp;C58&amp;CHAR(10)&amp;"~ "&amp;[1]Next!E43,IF(AND(E55="x1",E56="x2"),"~ "&amp;C57&amp;CHAR(10)&amp;"~ "&amp;C58,IF(AND(E55="x1",E56="x1'"),C57&amp;" "&amp;C58,"---"))))</f>
        <v>---</v>
      </c>
      <c r="H55" s="51"/>
    </row>
    <row r="56" spans="1:8" x14ac:dyDescent="0.25">
      <c r="A56" s="6" t="s">
        <v>880</v>
      </c>
      <c r="B56" s="6">
        <f>COUNTA(B15:B55)</f>
        <v>28</v>
      </c>
      <c r="F56" s="6" t="s">
        <v>771</v>
      </c>
    </row>
    <row r="59" spans="1:8" x14ac:dyDescent="0.25">
      <c r="C59" s="141"/>
    </row>
  </sheetData>
  <mergeCells count="1">
    <mergeCell ref="A4:A1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0883-4F44-4506-96F8-D03DCA825C70}">
  <dimension ref="A1:W201"/>
  <sheetViews>
    <sheetView workbookViewId="0">
      <selection activeCell="M17" sqref="M17"/>
    </sheetView>
  </sheetViews>
  <sheetFormatPr defaultRowHeight="15" x14ac:dyDescent="0.25"/>
  <cols>
    <col min="2" max="2" width="10.7109375" bestFit="1" customWidth="1"/>
    <col min="3" max="3" width="10.42578125" bestFit="1" customWidth="1"/>
    <col min="4" max="4" width="10.7109375" style="1" bestFit="1" customWidth="1"/>
    <col min="5" max="6" width="14.140625" style="1" bestFit="1" customWidth="1"/>
    <col min="7" max="7" width="51.42578125" customWidth="1"/>
    <col min="8" max="8" width="56.140625" customWidth="1"/>
    <col min="11" max="11" width="3.28515625" customWidth="1"/>
    <col min="12" max="12" width="20.5703125" customWidth="1"/>
    <col min="13" max="13" width="5.85546875" customWidth="1"/>
    <col min="14" max="14" width="3.5703125" customWidth="1"/>
    <col min="15" max="15" width="13.7109375" bestFit="1" customWidth="1"/>
  </cols>
  <sheetData>
    <row r="1" spans="1:23" ht="15.75" thickBot="1" x14ac:dyDescent="0.3">
      <c r="A1" s="25" t="s">
        <v>109</v>
      </c>
      <c r="B1" s="24" t="s">
        <v>110</v>
      </c>
      <c r="C1" s="22" t="s">
        <v>111</v>
      </c>
      <c r="D1" s="21" t="s">
        <v>112</v>
      </c>
      <c r="E1" s="22" t="s">
        <v>113</v>
      </c>
      <c r="F1" s="22" t="s">
        <v>126</v>
      </c>
      <c r="G1" s="23" t="s">
        <v>118</v>
      </c>
      <c r="H1" s="23" t="s">
        <v>119</v>
      </c>
      <c r="I1" s="26" t="s">
        <v>114</v>
      </c>
      <c r="J1" s="47" t="s">
        <v>127</v>
      </c>
      <c r="K1" s="52"/>
      <c r="L1" s="3" t="s">
        <v>272</v>
      </c>
      <c r="M1" s="51"/>
      <c r="N1" s="154" t="s">
        <v>120</v>
      </c>
      <c r="O1" s="155"/>
      <c r="P1" s="51"/>
      <c r="Q1" s="51"/>
      <c r="R1" s="51"/>
      <c r="S1" s="51"/>
      <c r="T1" s="51"/>
      <c r="W1" s="14" t="s">
        <v>276</v>
      </c>
    </row>
    <row r="2" spans="1:23" x14ac:dyDescent="0.25">
      <c r="A2" s="148">
        <v>1</v>
      </c>
      <c r="B2" s="151">
        <v>44614</v>
      </c>
      <c r="C2" s="156">
        <v>44616</v>
      </c>
      <c r="D2" s="12">
        <v>1</v>
      </c>
      <c r="E2" s="13" t="str">
        <f t="shared" ref="E2:E12" si="0">K2&amp;"-"&amp;D2</f>
        <v>1-1</v>
      </c>
      <c r="F2" s="13">
        <v>1</v>
      </c>
      <c r="G2" s="44" t="s">
        <v>99</v>
      </c>
      <c r="H2" s="45" t="s">
        <v>2</v>
      </c>
      <c r="I2" s="46">
        <v>1</v>
      </c>
      <c r="J2" s="48"/>
      <c r="K2" s="53">
        <f>IF(ISNUMBER(A2)=TRUE,A2,J1)</f>
        <v>1</v>
      </c>
      <c r="L2" s="4" t="s">
        <v>270</v>
      </c>
      <c r="M2" s="51"/>
      <c r="N2" s="82">
        <v>1</v>
      </c>
      <c r="O2" s="88" t="s">
        <v>115</v>
      </c>
      <c r="P2" s="51"/>
      <c r="Q2" s="51"/>
      <c r="R2" s="51"/>
      <c r="S2" s="51"/>
      <c r="T2" s="51"/>
      <c r="W2" s="14" t="s">
        <v>179</v>
      </c>
    </row>
    <row r="3" spans="1:23" x14ac:dyDescent="0.25">
      <c r="A3" s="149"/>
      <c r="B3" s="152"/>
      <c r="C3" s="157"/>
      <c r="D3" s="8">
        <v>2</v>
      </c>
      <c r="E3" s="9" t="str">
        <f t="shared" si="0"/>
        <v>1-2</v>
      </c>
      <c r="F3" s="9">
        <f>F2+1</f>
        <v>2</v>
      </c>
      <c r="G3" s="10" t="s">
        <v>100</v>
      </c>
      <c r="H3" s="11" t="s">
        <v>90</v>
      </c>
      <c r="I3" s="14"/>
      <c r="J3" s="49"/>
      <c r="K3" s="53">
        <f t="shared" ref="K3:K9" si="1">IF(ISNUMBER(A3)=TRUE,A3,K2)</f>
        <v>1</v>
      </c>
      <c r="L3" s="4"/>
      <c r="M3" s="51"/>
      <c r="N3" s="82">
        <v>2</v>
      </c>
      <c r="O3" s="88" t="s">
        <v>116</v>
      </c>
      <c r="P3" s="51"/>
      <c r="Q3" s="51"/>
      <c r="R3" s="51"/>
      <c r="S3" s="51"/>
      <c r="T3" s="51"/>
      <c r="W3" s="14" t="s">
        <v>277</v>
      </c>
    </row>
    <row r="4" spans="1:23" ht="15.75" thickBot="1" x14ac:dyDescent="0.3">
      <c r="A4" s="149"/>
      <c r="B4" s="152"/>
      <c r="C4" s="157"/>
      <c r="D4" s="8">
        <v>3</v>
      </c>
      <c r="E4" s="9" t="str">
        <f t="shared" si="0"/>
        <v>1-3</v>
      </c>
      <c r="F4" s="9">
        <f t="shared" ref="F4:F12" si="2">F3+1</f>
        <v>3</v>
      </c>
      <c r="G4" s="10" t="s">
        <v>101</v>
      </c>
      <c r="H4" s="11" t="s">
        <v>91</v>
      </c>
      <c r="I4" s="14"/>
      <c r="J4" s="49"/>
      <c r="K4" s="53">
        <f t="shared" si="1"/>
        <v>1</v>
      </c>
      <c r="L4" s="4"/>
      <c r="M4" s="51"/>
      <c r="N4" s="83">
        <v>3</v>
      </c>
      <c r="O4" s="89" t="s">
        <v>117</v>
      </c>
      <c r="P4" s="51"/>
      <c r="Q4" s="51"/>
      <c r="R4" s="51"/>
      <c r="S4" s="51"/>
      <c r="T4" s="51"/>
      <c r="W4" s="20" t="s">
        <v>191</v>
      </c>
    </row>
    <row r="5" spans="1:23" x14ac:dyDescent="0.25">
      <c r="A5" s="149"/>
      <c r="B5" s="152"/>
      <c r="C5" s="157"/>
      <c r="D5" s="8">
        <v>4</v>
      </c>
      <c r="E5" s="9" t="str">
        <f t="shared" si="0"/>
        <v>1-4</v>
      </c>
      <c r="F5" s="9">
        <f t="shared" si="2"/>
        <v>4</v>
      </c>
      <c r="G5" s="10" t="s">
        <v>102</v>
      </c>
      <c r="H5" s="11" t="s">
        <v>92</v>
      </c>
      <c r="I5" s="14"/>
      <c r="J5" s="49"/>
      <c r="K5" s="53">
        <f t="shared" si="1"/>
        <v>1</v>
      </c>
      <c r="L5" s="4"/>
      <c r="M5" s="51"/>
      <c r="N5" s="51"/>
      <c r="O5" s="51"/>
      <c r="P5" s="51"/>
      <c r="Q5" s="51"/>
      <c r="R5" s="51"/>
      <c r="S5" s="51"/>
      <c r="T5" s="51"/>
      <c r="W5" s="14" t="s">
        <v>183</v>
      </c>
    </row>
    <row r="6" spans="1:23" x14ac:dyDescent="0.25">
      <c r="A6" s="149"/>
      <c r="B6" s="152"/>
      <c r="C6" s="157"/>
      <c r="D6" s="8">
        <v>5</v>
      </c>
      <c r="E6" s="9" t="str">
        <f t="shared" si="0"/>
        <v>1-5</v>
      </c>
      <c r="F6" s="9">
        <f t="shared" si="2"/>
        <v>5</v>
      </c>
      <c r="G6" s="10" t="s">
        <v>103</v>
      </c>
      <c r="H6" s="11" t="s">
        <v>93</v>
      </c>
      <c r="I6" s="14">
        <v>1</v>
      </c>
      <c r="J6" s="49"/>
      <c r="K6" s="53">
        <f t="shared" si="1"/>
        <v>1</v>
      </c>
      <c r="L6" s="4" t="s">
        <v>271</v>
      </c>
      <c r="M6" s="51"/>
      <c r="N6" s="51"/>
      <c r="O6" s="51"/>
      <c r="P6" s="51"/>
      <c r="Q6" s="51"/>
      <c r="R6" s="51"/>
      <c r="S6" s="51"/>
      <c r="T6" s="51"/>
      <c r="W6" s="14" t="s">
        <v>184</v>
      </c>
    </row>
    <row r="7" spans="1:23" x14ac:dyDescent="0.25">
      <c r="A7" s="149"/>
      <c r="B7" s="152"/>
      <c r="C7" s="157"/>
      <c r="D7" s="8">
        <v>6</v>
      </c>
      <c r="E7" s="9" t="str">
        <f t="shared" si="0"/>
        <v>1-6</v>
      </c>
      <c r="F7" s="9">
        <f t="shared" si="2"/>
        <v>6</v>
      </c>
      <c r="G7" s="10" t="s">
        <v>104</v>
      </c>
      <c r="H7" s="11" t="s">
        <v>94</v>
      </c>
      <c r="I7" s="14">
        <v>1</v>
      </c>
      <c r="J7" s="49"/>
      <c r="K7" s="53">
        <f t="shared" si="1"/>
        <v>1</v>
      </c>
      <c r="L7" s="4"/>
      <c r="M7" s="51"/>
      <c r="N7" s="51"/>
      <c r="O7" s="51"/>
      <c r="P7" s="51"/>
      <c r="Q7" s="51"/>
      <c r="R7" s="51"/>
      <c r="S7" s="51"/>
      <c r="T7" s="51"/>
      <c r="W7" s="14" t="s">
        <v>185</v>
      </c>
    </row>
    <row r="8" spans="1:23" x14ac:dyDescent="0.25">
      <c r="A8" s="149"/>
      <c r="B8" s="152"/>
      <c r="C8" s="157"/>
      <c r="D8" s="8">
        <v>7</v>
      </c>
      <c r="E8" s="9" t="str">
        <f t="shared" si="0"/>
        <v>1-7</v>
      </c>
      <c r="F8" s="9">
        <f t="shared" si="2"/>
        <v>7</v>
      </c>
      <c r="G8" s="10" t="s">
        <v>105</v>
      </c>
      <c r="H8" s="11" t="s">
        <v>95</v>
      </c>
      <c r="I8" s="14"/>
      <c r="J8" s="49"/>
      <c r="K8" s="53">
        <f t="shared" si="1"/>
        <v>1</v>
      </c>
      <c r="L8" s="4"/>
      <c r="M8" s="51"/>
      <c r="N8" s="51"/>
      <c r="O8" s="51"/>
      <c r="P8" s="51"/>
      <c r="Q8" s="51"/>
      <c r="R8" s="51"/>
      <c r="S8" s="51"/>
      <c r="T8" s="51"/>
      <c r="W8" s="14" t="s">
        <v>174</v>
      </c>
    </row>
    <row r="9" spans="1:23" x14ac:dyDescent="0.25">
      <c r="A9" s="149"/>
      <c r="B9" s="152"/>
      <c r="C9" s="157"/>
      <c r="D9" s="8">
        <v>8</v>
      </c>
      <c r="E9" s="9" t="str">
        <f t="shared" si="0"/>
        <v>1-8</v>
      </c>
      <c r="F9" s="9">
        <f t="shared" si="2"/>
        <v>8</v>
      </c>
      <c r="G9" s="10" t="s">
        <v>106</v>
      </c>
      <c r="H9" s="11" t="s">
        <v>96</v>
      </c>
      <c r="I9" s="14">
        <v>1</v>
      </c>
      <c r="J9" s="49"/>
      <c r="K9" s="53">
        <f t="shared" si="1"/>
        <v>1</v>
      </c>
      <c r="L9" s="4" t="s">
        <v>164</v>
      </c>
      <c r="M9" s="51"/>
      <c r="N9" s="51"/>
      <c r="O9" s="51"/>
      <c r="P9" s="51"/>
      <c r="Q9" s="51"/>
      <c r="R9" s="51"/>
      <c r="S9" s="51"/>
      <c r="T9" s="51"/>
      <c r="W9" s="14" t="s">
        <v>175</v>
      </c>
    </row>
    <row r="10" spans="1:23" x14ac:dyDescent="0.25">
      <c r="A10" s="149"/>
      <c r="B10" s="152"/>
      <c r="C10" s="157"/>
      <c r="D10" s="8">
        <v>9</v>
      </c>
      <c r="E10" s="9" t="str">
        <f t="shared" si="0"/>
        <v>1-9</v>
      </c>
      <c r="F10" s="9">
        <f t="shared" si="2"/>
        <v>9</v>
      </c>
      <c r="G10" s="10" t="s">
        <v>107</v>
      </c>
      <c r="H10" s="11" t="s">
        <v>97</v>
      </c>
      <c r="I10" s="14"/>
      <c r="J10" s="49"/>
      <c r="K10" s="53">
        <f t="shared" ref="K10:K76" si="3">IF(ISNUMBER(A10)=TRUE,A10,K9)</f>
        <v>1</v>
      </c>
      <c r="L10" s="4"/>
      <c r="M10" s="51"/>
      <c r="N10" s="51"/>
      <c r="O10" s="51"/>
      <c r="P10" s="51"/>
      <c r="Q10" s="51"/>
      <c r="R10" s="51"/>
      <c r="S10" s="51"/>
      <c r="T10" s="51"/>
      <c r="W10" s="14" t="s">
        <v>181</v>
      </c>
    </row>
    <row r="11" spans="1:23" ht="15.75" thickBot="1" x14ac:dyDescent="0.3">
      <c r="A11" s="149"/>
      <c r="B11" s="152"/>
      <c r="C11" s="157"/>
      <c r="D11" s="8">
        <v>10</v>
      </c>
      <c r="E11" s="9" t="str">
        <f t="shared" si="0"/>
        <v>1-10</v>
      </c>
      <c r="F11" s="9">
        <f t="shared" si="2"/>
        <v>10</v>
      </c>
      <c r="G11" s="10" t="s">
        <v>108</v>
      </c>
      <c r="H11" s="11" t="s">
        <v>98</v>
      </c>
      <c r="I11" s="14">
        <v>1</v>
      </c>
      <c r="J11" s="49"/>
      <c r="K11" s="53">
        <f t="shared" si="3"/>
        <v>1</v>
      </c>
      <c r="L11" s="4"/>
      <c r="M11" s="51"/>
      <c r="N11" s="51"/>
      <c r="O11" s="51"/>
      <c r="P11" s="51"/>
      <c r="Q11" s="51"/>
      <c r="R11" s="51"/>
      <c r="S11" s="51"/>
      <c r="T11" s="51"/>
      <c r="W11" s="14" t="s">
        <v>186</v>
      </c>
    </row>
    <row r="12" spans="1:23" x14ac:dyDescent="0.25">
      <c r="A12" s="148">
        <v>2</v>
      </c>
      <c r="B12" s="151">
        <v>44616</v>
      </c>
      <c r="C12" s="151">
        <v>44620</v>
      </c>
      <c r="D12" s="12">
        <v>1</v>
      </c>
      <c r="E12" s="13" t="str">
        <f t="shared" si="0"/>
        <v>2-1</v>
      </c>
      <c r="F12" s="13">
        <f t="shared" si="2"/>
        <v>11</v>
      </c>
      <c r="G12" s="44" t="s">
        <v>160</v>
      </c>
      <c r="H12" s="45" t="s">
        <v>139</v>
      </c>
      <c r="I12" s="46">
        <v>2</v>
      </c>
      <c r="J12" s="48"/>
      <c r="K12" s="53">
        <f t="shared" si="3"/>
        <v>2</v>
      </c>
      <c r="L12" s="4"/>
      <c r="M12" s="51"/>
      <c r="N12" s="51"/>
      <c r="O12" s="51"/>
      <c r="P12" s="51"/>
      <c r="Q12" s="51"/>
      <c r="R12" s="51"/>
      <c r="S12" s="51"/>
      <c r="T12" s="51"/>
      <c r="W12" s="14" t="s">
        <v>194</v>
      </c>
    </row>
    <row r="13" spans="1:23" x14ac:dyDescent="0.25">
      <c r="A13" s="149"/>
      <c r="B13" s="152"/>
      <c r="C13" s="152"/>
      <c r="D13" s="8">
        <v>2</v>
      </c>
      <c r="E13" s="9" t="str">
        <f>K13&amp;"-"&amp;D13</f>
        <v>2-2</v>
      </c>
      <c r="F13" s="9">
        <f t="shared" ref="F13:F26" si="4">F12+1</f>
        <v>12</v>
      </c>
      <c r="G13" s="10" t="s">
        <v>161</v>
      </c>
      <c r="H13" s="11" t="s">
        <v>138</v>
      </c>
      <c r="I13" s="14"/>
      <c r="J13" s="49"/>
      <c r="K13" s="53">
        <f t="shared" si="3"/>
        <v>2</v>
      </c>
      <c r="L13" s="4"/>
      <c r="M13" s="51"/>
      <c r="N13" s="51"/>
      <c r="O13" s="51"/>
      <c r="P13" s="51"/>
      <c r="Q13" s="51"/>
      <c r="R13" s="51"/>
      <c r="S13" s="51"/>
      <c r="T13" s="51"/>
      <c r="W13" s="91" t="s">
        <v>195</v>
      </c>
    </row>
    <row r="14" spans="1:23" x14ac:dyDescent="0.25">
      <c r="A14" s="149"/>
      <c r="B14" s="152"/>
      <c r="C14" s="152"/>
      <c r="D14" s="8">
        <v>3</v>
      </c>
      <c r="E14" s="9" t="str">
        <f>K14&amp;"-"&amp;D14</f>
        <v>2-3</v>
      </c>
      <c r="F14" s="9">
        <f t="shared" si="4"/>
        <v>13</v>
      </c>
      <c r="G14" s="10" t="s">
        <v>162</v>
      </c>
      <c r="H14" s="11" t="s">
        <v>140</v>
      </c>
      <c r="I14" s="14">
        <v>1</v>
      </c>
      <c r="J14" s="49"/>
      <c r="K14" s="53">
        <f t="shared" si="3"/>
        <v>2</v>
      </c>
      <c r="L14" s="4"/>
      <c r="M14" s="51"/>
      <c r="N14" s="51"/>
      <c r="O14" s="51"/>
      <c r="P14" s="51"/>
      <c r="Q14" s="51"/>
      <c r="R14" s="51"/>
      <c r="S14" s="51"/>
      <c r="T14" s="51"/>
      <c r="W14" s="14" t="s">
        <v>189</v>
      </c>
    </row>
    <row r="15" spans="1:23" x14ac:dyDescent="0.25">
      <c r="A15" s="149"/>
      <c r="B15" s="152"/>
      <c r="C15" s="152"/>
      <c r="D15" s="8">
        <v>4</v>
      </c>
      <c r="E15" s="9" t="str">
        <f>K15&amp;"-"&amp;D15</f>
        <v>2-4</v>
      </c>
      <c r="F15" s="9">
        <f t="shared" si="4"/>
        <v>14</v>
      </c>
      <c r="G15" s="10" t="s">
        <v>163</v>
      </c>
      <c r="H15" s="11" t="s">
        <v>141</v>
      </c>
      <c r="I15" s="14"/>
      <c r="J15" s="49"/>
      <c r="K15" s="53">
        <f t="shared" si="3"/>
        <v>2</v>
      </c>
      <c r="L15" s="4"/>
      <c r="M15" s="51"/>
      <c r="N15" s="51"/>
      <c r="O15" s="51"/>
      <c r="P15" s="51"/>
      <c r="Q15" s="51"/>
      <c r="R15" s="51"/>
      <c r="S15" s="51"/>
      <c r="T15" s="51"/>
      <c r="W15" s="14" t="s">
        <v>197</v>
      </c>
    </row>
    <row r="16" spans="1:23" x14ac:dyDescent="0.25">
      <c r="A16" s="149"/>
      <c r="B16" s="152"/>
      <c r="C16" s="152"/>
      <c r="D16" s="8">
        <v>5</v>
      </c>
      <c r="E16" s="9" t="str">
        <f>K16&amp;"-"&amp;D16</f>
        <v>2-5</v>
      </c>
      <c r="F16" s="9">
        <f t="shared" si="4"/>
        <v>15</v>
      </c>
      <c r="G16" s="10" t="s">
        <v>150</v>
      </c>
      <c r="H16" s="11" t="s">
        <v>142</v>
      </c>
      <c r="I16" s="14">
        <v>2</v>
      </c>
      <c r="J16" s="49"/>
      <c r="K16" s="53">
        <f t="shared" si="3"/>
        <v>2</v>
      </c>
      <c r="L16" s="4" t="s">
        <v>273</v>
      </c>
      <c r="M16" s="51"/>
      <c r="N16" s="51"/>
      <c r="O16" s="51"/>
      <c r="P16" s="51"/>
      <c r="Q16" s="51"/>
      <c r="R16" s="51"/>
      <c r="S16" s="51"/>
      <c r="T16" s="51"/>
      <c r="W16" s="14" t="s">
        <v>282</v>
      </c>
    </row>
    <row r="17" spans="1:23" x14ac:dyDescent="0.25">
      <c r="A17" s="149"/>
      <c r="B17" s="152"/>
      <c r="C17" s="152"/>
      <c r="D17" s="8">
        <v>7</v>
      </c>
      <c r="E17" s="9" t="str">
        <f t="shared" ref="E17:E26" si="5">K17&amp;"-"&amp;D17</f>
        <v>2-7</v>
      </c>
      <c r="F17" s="9">
        <f t="shared" si="4"/>
        <v>16</v>
      </c>
      <c r="G17" s="10" t="s">
        <v>151</v>
      </c>
      <c r="H17" s="11" t="s">
        <v>274</v>
      </c>
      <c r="I17" s="14">
        <v>2</v>
      </c>
      <c r="J17" s="49"/>
      <c r="K17" s="53">
        <f t="shared" si="3"/>
        <v>2</v>
      </c>
      <c r="L17" s="4" t="s">
        <v>273</v>
      </c>
      <c r="M17" s="51"/>
      <c r="N17" s="51"/>
      <c r="O17" s="51"/>
      <c r="P17" s="51"/>
      <c r="Q17" s="51"/>
      <c r="R17" s="51"/>
      <c r="S17" s="51"/>
      <c r="T17" s="51"/>
      <c r="W17" s="14" t="s">
        <v>198</v>
      </c>
    </row>
    <row r="18" spans="1:23" x14ac:dyDescent="0.25">
      <c r="A18" s="149"/>
      <c r="B18" s="152"/>
      <c r="C18" s="152"/>
      <c r="D18" s="8">
        <v>10</v>
      </c>
      <c r="E18" s="9" t="str">
        <f t="shared" si="5"/>
        <v>2-10</v>
      </c>
      <c r="F18" s="9">
        <f t="shared" si="4"/>
        <v>17</v>
      </c>
      <c r="G18" s="10" t="s">
        <v>152</v>
      </c>
      <c r="H18" s="11" t="s">
        <v>143</v>
      </c>
      <c r="I18" s="61"/>
      <c r="J18" s="49"/>
      <c r="K18" s="53">
        <f t="shared" si="3"/>
        <v>2</v>
      </c>
      <c r="L18" s="4"/>
      <c r="M18" s="51"/>
      <c r="N18" s="51"/>
      <c r="O18" s="51"/>
      <c r="P18" s="51"/>
      <c r="Q18" s="51"/>
      <c r="R18" s="51"/>
      <c r="S18" s="51"/>
      <c r="T18" s="51"/>
      <c r="W18" s="14" t="s">
        <v>201</v>
      </c>
    </row>
    <row r="19" spans="1:23" x14ac:dyDescent="0.25">
      <c r="A19" s="149"/>
      <c r="B19" s="152"/>
      <c r="C19" s="152"/>
      <c r="D19" s="8">
        <v>11</v>
      </c>
      <c r="E19" s="9" t="str">
        <f t="shared" si="5"/>
        <v>2-11</v>
      </c>
      <c r="F19" s="9">
        <f t="shared" si="4"/>
        <v>18</v>
      </c>
      <c r="G19" s="59" t="s">
        <v>57</v>
      </c>
      <c r="H19" s="11" t="s">
        <v>57</v>
      </c>
      <c r="I19" s="14"/>
      <c r="J19" s="49"/>
      <c r="K19" s="53">
        <f t="shared" si="3"/>
        <v>2</v>
      </c>
      <c r="L19" s="4"/>
      <c r="M19" s="51"/>
      <c r="N19" s="51"/>
      <c r="O19" s="51"/>
      <c r="P19" s="51"/>
      <c r="Q19" s="51"/>
      <c r="R19" s="51"/>
      <c r="S19" s="51"/>
      <c r="T19" s="51"/>
      <c r="W19" s="14" t="s">
        <v>206</v>
      </c>
    </row>
    <row r="20" spans="1:23" x14ac:dyDescent="0.25">
      <c r="A20" s="149"/>
      <c r="B20" s="152"/>
      <c r="C20" s="152"/>
      <c r="D20" s="8">
        <v>12</v>
      </c>
      <c r="E20" s="9" t="str">
        <f t="shared" si="5"/>
        <v>2-12</v>
      </c>
      <c r="F20" s="9">
        <f t="shared" si="4"/>
        <v>19</v>
      </c>
      <c r="G20" s="59" t="s">
        <v>153</v>
      </c>
      <c r="H20" s="11" t="s">
        <v>144</v>
      </c>
      <c r="I20" s="14"/>
      <c r="J20" s="49"/>
      <c r="K20" s="53">
        <f t="shared" si="3"/>
        <v>2</v>
      </c>
      <c r="L20" s="4"/>
      <c r="M20" s="51"/>
      <c r="N20" s="51"/>
      <c r="O20" s="51"/>
      <c r="P20" s="51"/>
      <c r="Q20" s="51"/>
      <c r="R20" s="51"/>
      <c r="S20" s="51"/>
      <c r="T20" s="51"/>
      <c r="W20" s="14" t="s">
        <v>208</v>
      </c>
    </row>
    <row r="21" spans="1:23" x14ac:dyDescent="0.25">
      <c r="A21" s="149"/>
      <c r="B21" s="152"/>
      <c r="C21" s="152"/>
      <c r="D21" s="8">
        <v>13</v>
      </c>
      <c r="E21" s="9" t="str">
        <f t="shared" si="5"/>
        <v>2-13</v>
      </c>
      <c r="F21" s="9">
        <f t="shared" si="4"/>
        <v>20</v>
      </c>
      <c r="G21" s="59" t="s">
        <v>154</v>
      </c>
      <c r="H21" s="11" t="s">
        <v>145</v>
      </c>
      <c r="I21" s="14"/>
      <c r="J21" s="49"/>
      <c r="K21" s="53">
        <f t="shared" si="3"/>
        <v>2</v>
      </c>
      <c r="L21" s="4"/>
      <c r="M21" s="51"/>
      <c r="N21" s="51"/>
      <c r="O21" s="51"/>
      <c r="P21" s="51"/>
      <c r="Q21" s="51"/>
      <c r="R21" s="51"/>
      <c r="S21" s="51"/>
      <c r="T21" s="51"/>
    </row>
    <row r="22" spans="1:23" x14ac:dyDescent="0.25">
      <c r="A22" s="149"/>
      <c r="B22" s="152"/>
      <c r="C22" s="152"/>
      <c r="D22" s="8">
        <v>14</v>
      </c>
      <c r="E22" s="9" t="str">
        <f t="shared" si="5"/>
        <v>2-14</v>
      </c>
      <c r="F22" s="9">
        <f t="shared" si="4"/>
        <v>21</v>
      </c>
      <c r="G22" s="59" t="s">
        <v>146</v>
      </c>
      <c r="H22" s="11" t="s">
        <v>146</v>
      </c>
      <c r="I22" s="14"/>
      <c r="J22" s="49"/>
      <c r="K22" s="53">
        <f t="shared" si="3"/>
        <v>2</v>
      </c>
      <c r="L22" s="4"/>
      <c r="M22" s="51"/>
      <c r="N22" s="51"/>
      <c r="O22" s="51"/>
      <c r="P22" s="51"/>
      <c r="Q22" s="51"/>
      <c r="R22" s="51"/>
      <c r="S22" s="51"/>
      <c r="T22" s="51"/>
    </row>
    <row r="23" spans="1:23" x14ac:dyDescent="0.25">
      <c r="A23" s="149"/>
      <c r="B23" s="152"/>
      <c r="C23" s="152"/>
      <c r="D23" s="8">
        <v>16</v>
      </c>
      <c r="E23" s="9" t="str">
        <f t="shared" si="5"/>
        <v>2-16</v>
      </c>
      <c r="F23" s="9">
        <f t="shared" si="4"/>
        <v>22</v>
      </c>
      <c r="G23" s="59" t="s">
        <v>155</v>
      </c>
      <c r="H23" s="11" t="s">
        <v>147</v>
      </c>
      <c r="I23" s="14"/>
      <c r="J23" s="49"/>
      <c r="K23" s="53">
        <f t="shared" si="3"/>
        <v>2</v>
      </c>
      <c r="L23" s="4"/>
      <c r="M23" s="51"/>
      <c r="N23" s="51"/>
      <c r="O23" s="51"/>
      <c r="P23" s="51"/>
      <c r="Q23" s="51"/>
      <c r="R23" s="51"/>
      <c r="S23" s="51"/>
      <c r="T23" s="51"/>
    </row>
    <row r="24" spans="1:23" x14ac:dyDescent="0.25">
      <c r="A24" s="149"/>
      <c r="B24" s="152"/>
      <c r="C24" s="152"/>
      <c r="D24" s="8">
        <v>18</v>
      </c>
      <c r="E24" s="9" t="str">
        <f t="shared" si="5"/>
        <v>2-18</v>
      </c>
      <c r="F24" s="9">
        <f t="shared" si="4"/>
        <v>23</v>
      </c>
      <c r="G24" s="59" t="s">
        <v>149</v>
      </c>
      <c r="H24" s="11" t="s">
        <v>148</v>
      </c>
      <c r="I24" s="14"/>
      <c r="J24" s="49"/>
      <c r="K24" s="53">
        <f t="shared" si="3"/>
        <v>2</v>
      </c>
      <c r="L24" s="4"/>
      <c r="M24" s="51"/>
      <c r="N24" s="51"/>
      <c r="O24" s="51"/>
      <c r="P24" s="51"/>
      <c r="Q24" s="51"/>
      <c r="R24" s="51"/>
      <c r="S24" s="51"/>
      <c r="T24" s="51"/>
    </row>
    <row r="25" spans="1:23" x14ac:dyDescent="0.25">
      <c r="A25" s="149"/>
      <c r="B25" s="152"/>
      <c r="C25" s="152"/>
      <c r="D25" s="8">
        <v>19</v>
      </c>
      <c r="E25" s="9" t="str">
        <f t="shared" si="5"/>
        <v>2-19</v>
      </c>
      <c r="F25" s="9">
        <f t="shared" si="4"/>
        <v>24</v>
      </c>
      <c r="G25" s="59" t="s">
        <v>156</v>
      </c>
      <c r="H25" s="11" t="s">
        <v>159</v>
      </c>
      <c r="I25" s="14">
        <v>1</v>
      </c>
      <c r="J25" s="49"/>
      <c r="K25" s="53">
        <f t="shared" si="3"/>
        <v>2</v>
      </c>
      <c r="L25" s="4"/>
      <c r="M25" s="51"/>
      <c r="N25" s="51"/>
      <c r="O25" s="51"/>
      <c r="P25" s="51"/>
      <c r="Q25" s="51"/>
      <c r="R25" s="51"/>
      <c r="S25" s="51"/>
      <c r="T25" s="51"/>
    </row>
    <row r="26" spans="1:23" ht="15.75" thickBot="1" x14ac:dyDescent="0.3">
      <c r="A26" s="150"/>
      <c r="B26" s="153"/>
      <c r="C26" s="153"/>
      <c r="D26" s="16">
        <v>20</v>
      </c>
      <c r="E26" s="17" t="str">
        <f t="shared" si="5"/>
        <v>2-20</v>
      </c>
      <c r="F26" s="17">
        <f t="shared" si="4"/>
        <v>25</v>
      </c>
      <c r="G26" s="60" t="s">
        <v>157</v>
      </c>
      <c r="H26" s="19" t="s">
        <v>158</v>
      </c>
      <c r="I26" s="20">
        <v>1</v>
      </c>
      <c r="J26" s="50"/>
      <c r="K26" s="53">
        <f t="shared" si="3"/>
        <v>2</v>
      </c>
      <c r="L26" s="4"/>
      <c r="M26" s="51"/>
      <c r="N26" s="51"/>
      <c r="O26" s="51"/>
      <c r="P26" s="51"/>
      <c r="Q26" s="51"/>
      <c r="R26" s="51"/>
      <c r="S26" s="51"/>
      <c r="T26" s="51"/>
    </row>
    <row r="27" spans="1:23" x14ac:dyDescent="0.25">
      <c r="A27" s="149"/>
      <c r="B27" s="152"/>
      <c r="C27" s="7"/>
      <c r="D27" s="8"/>
      <c r="E27" s="9"/>
      <c r="F27" s="9"/>
      <c r="G27" s="10" t="s">
        <v>276</v>
      </c>
      <c r="H27" s="11"/>
      <c r="I27" s="14"/>
      <c r="J27" s="49"/>
      <c r="K27" s="53">
        <f t="shared" si="3"/>
        <v>2</v>
      </c>
      <c r="L27" s="4"/>
      <c r="M27" s="51"/>
      <c r="N27" s="51"/>
      <c r="O27" s="51"/>
      <c r="P27" s="51"/>
      <c r="Q27" s="51"/>
      <c r="R27" s="51"/>
      <c r="S27" s="51"/>
      <c r="T27" s="51"/>
    </row>
    <row r="28" spans="1:23" x14ac:dyDescent="0.25">
      <c r="A28" s="149"/>
      <c r="B28" s="152"/>
      <c r="C28" s="7"/>
      <c r="D28" s="8"/>
      <c r="E28" s="9"/>
      <c r="F28" s="9"/>
      <c r="G28" s="10" t="s">
        <v>179</v>
      </c>
      <c r="H28" s="11"/>
      <c r="I28" s="14"/>
      <c r="J28" s="49"/>
      <c r="K28" s="53">
        <f t="shared" si="3"/>
        <v>2</v>
      </c>
      <c r="L28" s="4"/>
      <c r="M28" s="51"/>
      <c r="N28" s="51"/>
      <c r="O28" s="51"/>
      <c r="P28" s="51"/>
      <c r="Q28" s="51"/>
      <c r="R28" s="51"/>
      <c r="S28" s="51"/>
      <c r="T28" s="51"/>
    </row>
    <row r="29" spans="1:23" x14ac:dyDescent="0.25">
      <c r="A29" s="149"/>
      <c r="B29" s="152"/>
      <c r="C29" s="7"/>
      <c r="D29" s="8"/>
      <c r="E29" s="9"/>
      <c r="F29" s="9"/>
      <c r="G29" s="10" t="s">
        <v>277</v>
      </c>
      <c r="H29" s="11"/>
      <c r="I29" s="14"/>
      <c r="J29" s="49"/>
      <c r="K29" s="53">
        <f t="shared" si="3"/>
        <v>2</v>
      </c>
      <c r="L29" s="4"/>
      <c r="M29" s="51"/>
      <c r="N29" s="51"/>
      <c r="O29" s="51"/>
      <c r="P29" s="51"/>
      <c r="Q29" s="51"/>
      <c r="R29" s="51"/>
      <c r="S29" s="51"/>
      <c r="T29" s="51"/>
    </row>
    <row r="30" spans="1:23" x14ac:dyDescent="0.25">
      <c r="A30" s="149"/>
      <c r="B30" s="152"/>
      <c r="C30" s="7"/>
      <c r="D30" s="8"/>
      <c r="E30" s="9"/>
      <c r="F30" s="9"/>
      <c r="G30" s="10" t="s">
        <v>191</v>
      </c>
      <c r="H30" s="11"/>
      <c r="I30" s="14"/>
      <c r="J30" s="49"/>
      <c r="K30" s="53">
        <f t="shared" si="3"/>
        <v>2</v>
      </c>
      <c r="L30" s="4"/>
      <c r="M30" s="51"/>
      <c r="N30" s="51"/>
      <c r="O30" s="51"/>
      <c r="P30" s="51"/>
      <c r="Q30" s="51"/>
      <c r="R30" s="51"/>
      <c r="S30" s="51"/>
      <c r="T30" s="51"/>
    </row>
    <row r="31" spans="1:23" x14ac:dyDescent="0.25">
      <c r="A31" s="149"/>
      <c r="B31" s="152"/>
      <c r="C31" s="7"/>
      <c r="D31" s="8"/>
      <c r="E31" s="9"/>
      <c r="F31" s="9"/>
      <c r="G31" s="10" t="s">
        <v>183</v>
      </c>
      <c r="H31" s="11"/>
      <c r="I31" s="14"/>
      <c r="J31" s="49"/>
      <c r="K31" s="53">
        <f t="shared" si="3"/>
        <v>2</v>
      </c>
      <c r="L31" s="4"/>
      <c r="M31" s="51"/>
      <c r="N31" s="51"/>
      <c r="O31" s="51"/>
      <c r="P31" s="51"/>
      <c r="Q31" s="51"/>
      <c r="R31" s="51"/>
      <c r="S31" s="51"/>
      <c r="T31" s="51"/>
    </row>
    <row r="32" spans="1:23" x14ac:dyDescent="0.25">
      <c r="A32" s="149"/>
      <c r="B32" s="152"/>
      <c r="C32" s="7"/>
      <c r="D32" s="8"/>
      <c r="E32" s="9"/>
      <c r="F32" s="9"/>
      <c r="G32" s="10" t="s">
        <v>184</v>
      </c>
      <c r="H32" s="11"/>
      <c r="I32" s="14"/>
      <c r="J32" s="49"/>
      <c r="K32" s="53">
        <f t="shared" si="3"/>
        <v>2</v>
      </c>
      <c r="L32" s="4"/>
      <c r="M32" s="51"/>
      <c r="N32" s="51"/>
      <c r="O32" s="51"/>
      <c r="P32" s="51"/>
      <c r="Q32" s="51"/>
      <c r="R32" s="51"/>
      <c r="S32" s="51"/>
      <c r="T32" s="51"/>
    </row>
    <row r="33" spans="1:20" x14ac:dyDescent="0.25">
      <c r="A33" s="149"/>
      <c r="B33" s="152"/>
      <c r="C33" s="7"/>
      <c r="D33" s="8"/>
      <c r="E33" s="9"/>
      <c r="F33" s="9"/>
      <c r="G33" s="10" t="s">
        <v>185</v>
      </c>
      <c r="H33" s="11"/>
      <c r="I33" s="14"/>
      <c r="J33" s="49"/>
      <c r="K33" s="53">
        <f t="shared" si="3"/>
        <v>2</v>
      </c>
      <c r="L33" s="4"/>
      <c r="M33" s="51"/>
      <c r="N33" s="51"/>
      <c r="O33" s="51"/>
      <c r="P33" s="51"/>
      <c r="Q33" s="51"/>
      <c r="R33" s="51"/>
      <c r="S33" s="51"/>
      <c r="T33" s="51"/>
    </row>
    <row r="34" spans="1:20" x14ac:dyDescent="0.25">
      <c r="A34" s="149"/>
      <c r="B34" s="152"/>
      <c r="C34" s="7"/>
      <c r="D34" s="8"/>
      <c r="E34" s="9"/>
      <c r="F34" s="9"/>
      <c r="G34" s="10" t="s">
        <v>174</v>
      </c>
      <c r="H34" s="11"/>
      <c r="I34" s="14"/>
      <c r="J34" s="49"/>
      <c r="K34" s="53">
        <f t="shared" si="3"/>
        <v>2</v>
      </c>
      <c r="L34" s="4"/>
      <c r="M34" s="51"/>
      <c r="N34" s="51"/>
      <c r="O34" s="51"/>
      <c r="P34" s="51"/>
      <c r="Q34" s="51"/>
      <c r="R34" s="51"/>
      <c r="S34" s="51"/>
      <c r="T34" s="51"/>
    </row>
    <row r="35" spans="1:20" x14ac:dyDescent="0.25">
      <c r="A35" s="149"/>
      <c r="B35" s="152"/>
      <c r="C35" s="7"/>
      <c r="D35" s="8"/>
      <c r="E35" s="9"/>
      <c r="F35" s="9"/>
      <c r="G35" s="10" t="s">
        <v>175</v>
      </c>
      <c r="H35" s="11"/>
      <c r="I35" s="14"/>
      <c r="J35" s="49"/>
      <c r="K35" s="53">
        <f t="shared" si="3"/>
        <v>2</v>
      </c>
      <c r="L35" s="4"/>
      <c r="M35" s="51"/>
      <c r="N35" s="51"/>
      <c r="O35" s="51"/>
      <c r="P35" s="51"/>
      <c r="Q35" s="51"/>
      <c r="R35" s="51"/>
      <c r="S35" s="51"/>
      <c r="T35" s="51"/>
    </row>
    <row r="36" spans="1:20" ht="15.75" thickBot="1" x14ac:dyDescent="0.3">
      <c r="A36" s="150"/>
      <c r="B36" s="153"/>
      <c r="C36" s="15"/>
      <c r="D36" s="16"/>
      <c r="E36" s="17"/>
      <c r="F36" s="17"/>
      <c r="G36" s="18" t="s">
        <v>181</v>
      </c>
      <c r="H36" s="19"/>
      <c r="I36" s="20"/>
      <c r="J36" s="50"/>
      <c r="K36" s="53">
        <f t="shared" si="3"/>
        <v>2</v>
      </c>
      <c r="L36" s="4"/>
      <c r="M36" s="51"/>
      <c r="N36" s="51"/>
      <c r="O36" s="51"/>
      <c r="P36" s="51"/>
      <c r="Q36" s="51"/>
      <c r="R36" s="51"/>
      <c r="S36" s="51"/>
      <c r="T36" s="51"/>
    </row>
    <row r="37" spans="1:20" x14ac:dyDescent="0.25">
      <c r="D37" s="54"/>
      <c r="E37" s="54"/>
      <c r="F37" s="54"/>
      <c r="G37" s="51" t="s">
        <v>186</v>
      </c>
      <c r="H37" s="51"/>
      <c r="I37" s="51"/>
      <c r="J37" s="51"/>
      <c r="K37" s="53">
        <f t="shared" si="3"/>
        <v>2</v>
      </c>
      <c r="L37" s="51"/>
      <c r="M37" s="51"/>
      <c r="N37" s="51"/>
      <c r="O37" s="51"/>
      <c r="P37" s="51"/>
      <c r="Q37" s="51"/>
      <c r="R37" s="51"/>
      <c r="S37" s="51"/>
      <c r="T37" s="51"/>
    </row>
    <row r="38" spans="1:20" x14ac:dyDescent="0.25">
      <c r="D38" s="54"/>
      <c r="E38" s="54"/>
      <c r="F38" s="54"/>
      <c r="G38" s="51" t="s">
        <v>194</v>
      </c>
      <c r="H38" s="51"/>
      <c r="I38" s="51"/>
      <c r="J38" s="51"/>
      <c r="K38" s="53">
        <f t="shared" si="3"/>
        <v>2</v>
      </c>
      <c r="L38" s="51"/>
      <c r="M38" s="51"/>
      <c r="N38" s="51"/>
      <c r="O38" s="51"/>
      <c r="P38" s="51"/>
      <c r="Q38" s="51"/>
      <c r="R38" s="51"/>
      <c r="S38" s="51"/>
      <c r="T38" s="51"/>
    </row>
    <row r="39" spans="1:20" x14ac:dyDescent="0.25">
      <c r="D39" s="54"/>
      <c r="E39" s="54"/>
      <c r="F39" s="54"/>
      <c r="G39" s="51" t="s">
        <v>195</v>
      </c>
      <c r="H39" s="51"/>
      <c r="I39" s="51"/>
      <c r="J39" s="51"/>
      <c r="K39" s="53">
        <f t="shared" si="3"/>
        <v>2</v>
      </c>
      <c r="L39" s="51"/>
      <c r="M39" s="51"/>
      <c r="N39" s="51"/>
      <c r="O39" s="51"/>
      <c r="P39" s="51"/>
      <c r="Q39" s="51"/>
      <c r="R39" s="51"/>
      <c r="S39" s="51"/>
      <c r="T39" s="51"/>
    </row>
    <row r="40" spans="1:20" x14ac:dyDescent="0.25">
      <c r="D40" s="54"/>
      <c r="E40" s="54"/>
      <c r="F40" s="54"/>
      <c r="G40" s="51" t="s">
        <v>189</v>
      </c>
      <c r="H40" s="51"/>
      <c r="I40" s="51"/>
      <c r="J40" s="51"/>
      <c r="K40" s="53">
        <f t="shared" si="3"/>
        <v>2</v>
      </c>
      <c r="L40" s="51"/>
      <c r="M40" s="51"/>
      <c r="N40" s="51"/>
      <c r="O40" s="51"/>
      <c r="P40" s="51"/>
      <c r="Q40" s="51"/>
      <c r="R40" s="51"/>
      <c r="S40" s="51"/>
      <c r="T40" s="51"/>
    </row>
    <row r="41" spans="1:20" x14ac:dyDescent="0.25">
      <c r="D41" s="54"/>
      <c r="E41" s="54"/>
      <c r="F41" s="54"/>
      <c r="G41" s="51" t="s">
        <v>197</v>
      </c>
      <c r="H41" s="51"/>
      <c r="I41" s="51"/>
      <c r="J41" s="51"/>
      <c r="K41" s="53">
        <f t="shared" si="3"/>
        <v>2</v>
      </c>
      <c r="L41" s="51"/>
      <c r="M41" s="51"/>
      <c r="N41" s="51"/>
      <c r="O41" s="51"/>
      <c r="P41" s="51"/>
      <c r="Q41" s="51"/>
      <c r="R41" s="51"/>
      <c r="S41" s="51"/>
      <c r="T41" s="51"/>
    </row>
    <row r="42" spans="1:20" x14ac:dyDescent="0.25">
      <c r="D42" s="54"/>
      <c r="E42" s="54"/>
      <c r="F42" s="54"/>
      <c r="G42" s="51" t="s">
        <v>282</v>
      </c>
      <c r="H42" s="51"/>
      <c r="I42" s="51"/>
      <c r="J42" s="51"/>
      <c r="K42" s="53">
        <f t="shared" si="3"/>
        <v>2</v>
      </c>
      <c r="L42" s="51"/>
      <c r="M42" s="51"/>
      <c r="N42" s="51"/>
      <c r="O42" s="51"/>
      <c r="P42" s="51"/>
      <c r="Q42" s="51"/>
      <c r="R42" s="51"/>
      <c r="S42" s="51"/>
      <c r="T42" s="51"/>
    </row>
    <row r="43" spans="1:20" x14ac:dyDescent="0.25">
      <c r="D43" s="54"/>
      <c r="E43" s="54"/>
      <c r="F43" s="54"/>
      <c r="G43" s="51" t="s">
        <v>198</v>
      </c>
      <c r="H43" s="51"/>
      <c r="I43" s="51"/>
      <c r="J43" s="51"/>
      <c r="K43" s="53">
        <f t="shared" si="3"/>
        <v>2</v>
      </c>
      <c r="L43" s="51"/>
      <c r="M43" s="51"/>
      <c r="N43" s="51"/>
      <c r="O43" s="51"/>
      <c r="P43" s="51"/>
      <c r="Q43" s="51"/>
      <c r="R43" s="51"/>
      <c r="S43" s="51"/>
      <c r="T43" s="51"/>
    </row>
    <row r="44" spans="1:20" x14ac:dyDescent="0.25">
      <c r="D44" s="54"/>
      <c r="E44" s="54"/>
      <c r="F44" s="54"/>
      <c r="G44" s="51" t="s">
        <v>201</v>
      </c>
      <c r="H44" s="51"/>
      <c r="I44" s="51"/>
      <c r="J44" s="51"/>
      <c r="K44" s="53">
        <f t="shared" si="3"/>
        <v>2</v>
      </c>
      <c r="L44" s="51"/>
      <c r="M44" s="51"/>
      <c r="N44" s="51"/>
      <c r="O44" s="51"/>
      <c r="P44" s="51"/>
      <c r="Q44" s="51"/>
      <c r="R44" s="51"/>
      <c r="S44" s="51"/>
      <c r="T44" s="51"/>
    </row>
    <row r="45" spans="1:20" x14ac:dyDescent="0.25">
      <c r="D45" s="54"/>
      <c r="E45" s="54"/>
      <c r="F45" s="54"/>
      <c r="G45" s="51" t="s">
        <v>206</v>
      </c>
      <c r="H45" s="51"/>
      <c r="I45" s="51"/>
      <c r="J45" s="51"/>
      <c r="K45" s="53">
        <f t="shared" si="3"/>
        <v>2</v>
      </c>
      <c r="L45" s="51"/>
      <c r="M45" s="51"/>
      <c r="N45" s="51"/>
      <c r="O45" s="51"/>
      <c r="P45" s="51"/>
      <c r="Q45" s="51"/>
      <c r="R45" s="51"/>
      <c r="S45" s="51"/>
      <c r="T45" s="51"/>
    </row>
    <row r="46" spans="1:20" x14ac:dyDescent="0.25">
      <c r="D46" s="54"/>
      <c r="E46" s="54"/>
      <c r="F46" s="54"/>
      <c r="G46" s="51" t="s">
        <v>208</v>
      </c>
      <c r="H46" s="51"/>
      <c r="I46" s="51"/>
      <c r="J46" s="51"/>
      <c r="K46" s="53">
        <f t="shared" si="3"/>
        <v>2</v>
      </c>
      <c r="L46" s="51"/>
      <c r="M46" s="51"/>
      <c r="N46" s="51"/>
      <c r="O46" s="51"/>
      <c r="P46" s="51"/>
      <c r="Q46" s="51"/>
      <c r="R46" s="51"/>
      <c r="S46" s="51"/>
      <c r="T46" s="51"/>
    </row>
    <row r="47" spans="1:20" x14ac:dyDescent="0.25">
      <c r="D47" s="54"/>
      <c r="E47" s="54"/>
      <c r="F47" s="54"/>
      <c r="G47" s="51"/>
      <c r="H47" s="51"/>
      <c r="I47" s="51"/>
      <c r="J47" s="51"/>
      <c r="K47" s="53">
        <f t="shared" si="3"/>
        <v>2</v>
      </c>
      <c r="L47" s="51"/>
      <c r="M47" s="51"/>
      <c r="N47" s="51"/>
      <c r="O47" s="51"/>
      <c r="P47" s="51"/>
      <c r="Q47" s="51"/>
      <c r="R47" s="51"/>
      <c r="S47" s="51"/>
      <c r="T47" s="51"/>
    </row>
    <row r="48" spans="1:20" x14ac:dyDescent="0.25">
      <c r="D48" s="54"/>
      <c r="E48" s="54"/>
      <c r="F48" s="54"/>
      <c r="G48" s="51"/>
      <c r="H48" s="51"/>
      <c r="I48" s="51"/>
      <c r="J48" s="51"/>
      <c r="K48" s="53">
        <f t="shared" si="3"/>
        <v>2</v>
      </c>
      <c r="L48" s="51"/>
      <c r="M48" s="51"/>
      <c r="N48" s="51"/>
      <c r="O48" s="51"/>
      <c r="P48" s="51"/>
      <c r="Q48" s="51"/>
      <c r="R48" s="51"/>
      <c r="S48" s="51"/>
      <c r="T48" s="51"/>
    </row>
    <row r="49" spans="1:20" x14ac:dyDescent="0.25">
      <c r="D49" s="54"/>
      <c r="E49" s="54"/>
      <c r="F49" s="54"/>
      <c r="G49" s="51"/>
      <c r="H49" s="51"/>
      <c r="I49" s="51"/>
      <c r="J49" s="51"/>
      <c r="K49" s="53">
        <f t="shared" si="3"/>
        <v>2</v>
      </c>
      <c r="L49" s="51"/>
      <c r="M49" s="51"/>
      <c r="N49" s="51"/>
      <c r="O49" s="51"/>
      <c r="P49" s="51"/>
      <c r="Q49" s="51"/>
      <c r="R49" s="51"/>
      <c r="S49" s="51"/>
      <c r="T49" s="51"/>
    </row>
    <row r="50" spans="1:20" x14ac:dyDescent="0.25">
      <c r="D50" s="54"/>
      <c r="E50" s="54"/>
      <c r="F50" s="54"/>
      <c r="G50" s="51"/>
      <c r="H50" s="51"/>
      <c r="I50" s="51"/>
      <c r="J50" s="51"/>
      <c r="K50" s="53">
        <f t="shared" si="3"/>
        <v>2</v>
      </c>
      <c r="L50" s="51"/>
      <c r="M50" s="51"/>
      <c r="N50" s="51"/>
      <c r="O50" s="51"/>
      <c r="P50" s="51"/>
      <c r="Q50" s="51"/>
      <c r="R50" s="51"/>
      <c r="S50" s="51"/>
      <c r="T50" s="51"/>
    </row>
    <row r="51" spans="1:20" x14ac:dyDescent="0.25">
      <c r="D51" s="54"/>
      <c r="E51" s="54"/>
      <c r="F51" s="54"/>
      <c r="G51" s="51"/>
      <c r="H51" s="51"/>
      <c r="I51" s="51"/>
      <c r="J51" s="51"/>
      <c r="K51" s="53">
        <f t="shared" si="3"/>
        <v>2</v>
      </c>
      <c r="L51" s="51"/>
      <c r="M51" s="51"/>
      <c r="N51" s="51"/>
      <c r="O51" s="51"/>
      <c r="P51" s="51"/>
      <c r="Q51" s="51"/>
      <c r="R51" s="51"/>
      <c r="S51" s="51"/>
      <c r="T51" s="51"/>
    </row>
    <row r="52" spans="1:20" x14ac:dyDescent="0.25">
      <c r="D52" s="54"/>
      <c r="E52" s="54"/>
      <c r="F52" s="54"/>
      <c r="G52" s="51"/>
      <c r="H52" s="51"/>
      <c r="I52" s="51"/>
      <c r="J52" s="51"/>
      <c r="K52" s="53">
        <f t="shared" si="3"/>
        <v>2</v>
      </c>
      <c r="L52" s="51"/>
      <c r="M52" s="51"/>
      <c r="N52" s="51"/>
      <c r="O52" s="51"/>
      <c r="P52" s="51"/>
      <c r="Q52" s="51"/>
      <c r="R52" s="51"/>
      <c r="S52" s="51"/>
      <c r="T52" s="51"/>
    </row>
    <row r="53" spans="1:20" x14ac:dyDescent="0.25">
      <c r="D53" s="54"/>
      <c r="E53" s="54"/>
      <c r="F53" s="54"/>
      <c r="G53" s="51"/>
      <c r="H53" s="51"/>
      <c r="I53" s="51"/>
      <c r="J53" s="51"/>
      <c r="K53" s="53">
        <f t="shared" si="3"/>
        <v>2</v>
      </c>
      <c r="L53" s="51"/>
      <c r="M53" s="51"/>
      <c r="N53" s="51"/>
      <c r="O53" s="51"/>
      <c r="P53" s="51"/>
      <c r="Q53" s="51"/>
      <c r="R53" s="51"/>
      <c r="S53" s="51"/>
      <c r="T53" s="51"/>
    </row>
    <row r="54" spans="1:20" ht="15.75" thickBot="1" x14ac:dyDescent="0.3">
      <c r="D54" s="54"/>
      <c r="E54" s="54"/>
      <c r="F54" s="54"/>
      <c r="G54" s="51"/>
      <c r="H54" s="51"/>
      <c r="I54" s="51"/>
      <c r="J54" s="51"/>
      <c r="K54" s="53">
        <f t="shared" si="3"/>
        <v>2</v>
      </c>
      <c r="L54" s="51"/>
      <c r="M54" s="51"/>
      <c r="N54" s="51"/>
      <c r="O54" s="51"/>
      <c r="P54" s="51"/>
      <c r="Q54" s="51"/>
      <c r="R54" s="51"/>
      <c r="S54" s="51"/>
      <c r="T54" s="51"/>
    </row>
    <row r="55" spans="1:20" x14ac:dyDescent="0.25">
      <c r="A55" s="148">
        <v>6</v>
      </c>
      <c r="B55" s="151">
        <v>44616</v>
      </c>
      <c r="C55" s="151">
        <v>44620</v>
      </c>
      <c r="D55" s="12">
        <v>1</v>
      </c>
      <c r="E55" s="13" t="str">
        <f>K55&amp;"-"&amp;D55</f>
        <v>6-1</v>
      </c>
      <c r="F55" s="109">
        <f>F54+1</f>
        <v>1</v>
      </c>
      <c r="G55" s="44" t="s">
        <v>315</v>
      </c>
      <c r="H55" s="45" t="s">
        <v>357</v>
      </c>
      <c r="I55" s="46"/>
      <c r="J55" s="48"/>
      <c r="K55" s="53">
        <f t="shared" ref="K55:K72" si="6">IF(ISNUMBER(A55)=TRUE,A55,K54)</f>
        <v>6</v>
      </c>
      <c r="L55" s="4"/>
      <c r="M55" s="51"/>
      <c r="N55" s="51"/>
      <c r="O55" s="51"/>
      <c r="P55" s="51"/>
      <c r="Q55" s="51"/>
      <c r="R55" s="51"/>
      <c r="S55" s="51"/>
      <c r="T55" s="51"/>
    </row>
    <row r="56" spans="1:20" x14ac:dyDescent="0.25">
      <c r="A56" s="149"/>
      <c r="B56" s="152"/>
      <c r="C56" s="152"/>
      <c r="D56" s="8">
        <v>2</v>
      </c>
      <c r="E56" s="9" t="str">
        <f>K56&amp;"-"&amp;D56</f>
        <v>6-2</v>
      </c>
      <c r="F56" s="110"/>
      <c r="G56" s="10" t="s">
        <v>316</v>
      </c>
      <c r="H56" s="11" t="s">
        <v>358</v>
      </c>
      <c r="I56" s="14"/>
      <c r="J56" s="49"/>
      <c r="K56" s="53">
        <f t="shared" si="6"/>
        <v>6</v>
      </c>
      <c r="L56" s="4"/>
      <c r="M56" s="51"/>
      <c r="N56" s="51"/>
      <c r="O56" s="51"/>
      <c r="P56" s="51"/>
      <c r="Q56" s="51"/>
      <c r="R56" s="51"/>
      <c r="S56" s="51"/>
      <c r="T56" s="51"/>
    </row>
    <row r="57" spans="1:20" x14ac:dyDescent="0.25">
      <c r="A57" s="149"/>
      <c r="B57" s="152"/>
      <c r="C57" s="152"/>
      <c r="D57" s="8">
        <v>3</v>
      </c>
      <c r="E57" s="9" t="str">
        <f>K57&amp;"-"&amp;D57</f>
        <v>6-3</v>
      </c>
      <c r="F57" s="110"/>
      <c r="G57" s="10" t="s">
        <v>318</v>
      </c>
      <c r="H57" s="11" t="s">
        <v>359</v>
      </c>
      <c r="I57" s="14"/>
      <c r="J57" s="49"/>
      <c r="K57" s="53">
        <f t="shared" si="6"/>
        <v>6</v>
      </c>
      <c r="L57" s="4"/>
      <c r="M57" s="51"/>
      <c r="N57" s="51"/>
      <c r="O57" s="51"/>
      <c r="P57" s="51"/>
      <c r="Q57" s="51"/>
      <c r="R57" s="51"/>
      <c r="S57" s="51"/>
      <c r="T57" s="51"/>
    </row>
    <row r="58" spans="1:20" x14ac:dyDescent="0.25">
      <c r="A58" s="149"/>
      <c r="B58" s="152"/>
      <c r="C58" s="152"/>
      <c r="D58" s="8">
        <v>4</v>
      </c>
      <c r="E58" s="9" t="str">
        <f>K58&amp;"-"&amp;D58</f>
        <v>6-4</v>
      </c>
      <c r="F58" s="110"/>
      <c r="G58" s="10" t="s">
        <v>349</v>
      </c>
      <c r="H58" s="11" t="s">
        <v>360</v>
      </c>
      <c r="I58" s="14"/>
      <c r="J58" s="49"/>
      <c r="K58" s="53">
        <f t="shared" si="6"/>
        <v>6</v>
      </c>
      <c r="L58" s="4"/>
      <c r="M58" s="51"/>
      <c r="N58" s="51"/>
      <c r="O58" s="51"/>
      <c r="P58" s="51"/>
      <c r="Q58" s="51"/>
      <c r="R58" s="51"/>
      <c r="S58" s="51"/>
      <c r="T58" s="51"/>
    </row>
    <row r="59" spans="1:20" ht="30" x14ac:dyDescent="0.25">
      <c r="A59" s="149"/>
      <c r="B59" s="152"/>
      <c r="C59" s="152"/>
      <c r="D59" s="8">
        <v>5</v>
      </c>
      <c r="E59" s="9" t="str">
        <f>K59&amp;"-"&amp;D59</f>
        <v>6-5</v>
      </c>
      <c r="F59" s="110"/>
      <c r="G59" s="106" t="s">
        <v>351</v>
      </c>
      <c r="H59" s="107" t="s">
        <v>361</v>
      </c>
      <c r="I59" s="14"/>
      <c r="J59" s="49"/>
      <c r="K59" s="53">
        <f t="shared" si="6"/>
        <v>6</v>
      </c>
      <c r="L59" s="4" t="s">
        <v>273</v>
      </c>
      <c r="M59" s="51"/>
      <c r="N59" s="51"/>
      <c r="O59" s="51"/>
      <c r="P59" s="51"/>
      <c r="Q59" s="51"/>
      <c r="R59" s="51"/>
      <c r="S59" s="51"/>
      <c r="T59" s="51"/>
    </row>
    <row r="60" spans="1:20" ht="30" x14ac:dyDescent="0.25">
      <c r="A60" s="149"/>
      <c r="B60" s="152"/>
      <c r="C60" s="152"/>
      <c r="D60" s="8">
        <v>7</v>
      </c>
      <c r="E60" s="9" t="str">
        <f t="shared" ref="E60:E72" si="7">K60&amp;"-"&amp;D60</f>
        <v>6-7</v>
      </c>
      <c r="F60" s="110"/>
      <c r="G60" s="106" t="s">
        <v>352</v>
      </c>
      <c r="H60" s="107" t="s">
        <v>362</v>
      </c>
      <c r="I60" s="14"/>
      <c r="J60" s="49"/>
      <c r="K60" s="53">
        <f t="shared" si="6"/>
        <v>6</v>
      </c>
      <c r="L60" s="4" t="s">
        <v>273</v>
      </c>
      <c r="M60" s="51"/>
      <c r="N60" s="51"/>
      <c r="O60" s="51"/>
      <c r="P60" s="51"/>
      <c r="Q60" s="51"/>
      <c r="R60" s="51"/>
      <c r="S60" s="51"/>
      <c r="T60" s="51"/>
    </row>
    <row r="61" spans="1:20" x14ac:dyDescent="0.25">
      <c r="A61" s="149"/>
      <c r="B61" s="152"/>
      <c r="C61" s="152"/>
      <c r="D61" s="8">
        <v>10</v>
      </c>
      <c r="E61" s="9" t="str">
        <f t="shared" si="7"/>
        <v>6-10</v>
      </c>
      <c r="F61" s="110"/>
      <c r="G61" s="10" t="s">
        <v>350</v>
      </c>
      <c r="H61" s="11" t="s">
        <v>363</v>
      </c>
      <c r="I61" s="61"/>
      <c r="J61" s="49"/>
      <c r="K61" s="53">
        <f t="shared" si="6"/>
        <v>6</v>
      </c>
      <c r="L61" s="4"/>
      <c r="M61" s="51"/>
      <c r="N61" s="51"/>
      <c r="O61" s="51"/>
      <c r="P61" s="51"/>
      <c r="Q61" s="51"/>
      <c r="R61" s="51"/>
      <c r="S61" s="51"/>
      <c r="T61" s="51"/>
    </row>
    <row r="62" spans="1:20" x14ac:dyDescent="0.25">
      <c r="A62" s="149"/>
      <c r="B62" s="152"/>
      <c r="C62" s="152"/>
      <c r="D62" s="8">
        <v>11</v>
      </c>
      <c r="E62" s="9" t="str">
        <f t="shared" si="7"/>
        <v>6-11</v>
      </c>
      <c r="F62" s="110"/>
      <c r="G62" s="59" t="s">
        <v>292</v>
      </c>
      <c r="H62" s="11" t="s">
        <v>364</v>
      </c>
      <c r="I62" s="14"/>
      <c r="J62" s="49"/>
      <c r="K62" s="53">
        <f t="shared" si="6"/>
        <v>6</v>
      </c>
      <c r="L62" s="4"/>
      <c r="M62" s="51"/>
      <c r="N62" s="51"/>
      <c r="O62" s="51"/>
      <c r="P62" s="51"/>
      <c r="Q62" s="51"/>
      <c r="R62" s="51"/>
      <c r="S62" s="51"/>
      <c r="T62" s="51"/>
    </row>
    <row r="63" spans="1:20" x14ac:dyDescent="0.25">
      <c r="A63" s="149"/>
      <c r="B63" s="152"/>
      <c r="C63" s="152"/>
      <c r="D63" s="8">
        <v>12</v>
      </c>
      <c r="E63" s="9" t="str">
        <f t="shared" si="7"/>
        <v>6-12</v>
      </c>
      <c r="F63" s="110"/>
      <c r="G63" s="59" t="s">
        <v>293</v>
      </c>
      <c r="H63" s="11" t="s">
        <v>365</v>
      </c>
      <c r="I63" s="14"/>
      <c r="J63" s="49"/>
      <c r="K63" s="53">
        <f t="shared" si="6"/>
        <v>6</v>
      </c>
      <c r="L63" s="4"/>
      <c r="M63" s="51"/>
      <c r="N63" s="51"/>
      <c r="O63" s="51"/>
      <c r="P63" s="51"/>
      <c r="Q63" s="51"/>
      <c r="R63" s="51"/>
      <c r="S63" s="51"/>
      <c r="T63" s="51"/>
    </row>
    <row r="64" spans="1:20" x14ac:dyDescent="0.25">
      <c r="A64" s="149"/>
      <c r="B64" s="152"/>
      <c r="C64" s="152"/>
      <c r="D64" s="8">
        <v>13</v>
      </c>
      <c r="E64" s="9" t="str">
        <f t="shared" si="7"/>
        <v>6-13</v>
      </c>
      <c r="F64" s="110"/>
      <c r="G64" s="59" t="s">
        <v>321</v>
      </c>
      <c r="H64" s="11" t="s">
        <v>366</v>
      </c>
      <c r="I64" s="14"/>
      <c r="J64" s="49"/>
      <c r="K64" s="53">
        <f t="shared" si="6"/>
        <v>6</v>
      </c>
      <c r="L64" s="4"/>
      <c r="M64" s="51"/>
      <c r="N64" s="51"/>
      <c r="O64" s="51"/>
      <c r="P64" s="51"/>
      <c r="Q64" s="51"/>
      <c r="R64" s="51"/>
      <c r="S64" s="51"/>
      <c r="T64" s="51"/>
    </row>
    <row r="65" spans="1:20" ht="45" x14ac:dyDescent="0.25">
      <c r="A65" s="149"/>
      <c r="B65" s="152"/>
      <c r="C65" s="152"/>
      <c r="D65" s="8">
        <v>14</v>
      </c>
      <c r="E65" s="9" t="str">
        <f t="shared" si="7"/>
        <v>6-14</v>
      </c>
      <c r="F65" s="110"/>
      <c r="G65" s="108" t="s">
        <v>353</v>
      </c>
      <c r="H65" s="107" t="s">
        <v>367</v>
      </c>
      <c r="I65" s="14"/>
      <c r="J65" s="49"/>
      <c r="K65" s="53">
        <f t="shared" si="6"/>
        <v>6</v>
      </c>
      <c r="L65" s="4"/>
      <c r="M65" s="51"/>
      <c r="N65" s="51"/>
      <c r="O65" s="51"/>
      <c r="P65" s="51"/>
      <c r="Q65" s="51"/>
      <c r="R65" s="51"/>
      <c r="S65" s="51"/>
      <c r="T65" s="51"/>
    </row>
    <row r="66" spans="1:20" ht="45" x14ac:dyDescent="0.25">
      <c r="A66" s="149"/>
      <c r="B66" s="152"/>
      <c r="C66" s="152"/>
      <c r="D66" s="8">
        <v>16</v>
      </c>
      <c r="E66" s="9" t="str">
        <f t="shared" si="7"/>
        <v>6-16</v>
      </c>
      <c r="F66" s="110"/>
      <c r="G66" s="108" t="s">
        <v>354</v>
      </c>
      <c r="H66" s="107" t="s">
        <v>368</v>
      </c>
      <c r="I66" s="14"/>
      <c r="J66" s="49"/>
      <c r="K66" s="53">
        <f t="shared" si="6"/>
        <v>6</v>
      </c>
      <c r="L66" s="4"/>
      <c r="M66" s="51"/>
      <c r="N66" s="51"/>
      <c r="O66" s="51"/>
      <c r="P66" s="51"/>
      <c r="Q66" s="51"/>
      <c r="R66" s="51"/>
      <c r="S66" s="51"/>
      <c r="T66" s="51"/>
    </row>
    <row r="67" spans="1:20" x14ac:dyDescent="0.25">
      <c r="A67" s="149"/>
      <c r="B67" s="152"/>
      <c r="C67" s="152"/>
      <c r="D67" s="8">
        <v>18</v>
      </c>
      <c r="E67" s="9" t="str">
        <f t="shared" si="7"/>
        <v>6-18</v>
      </c>
      <c r="F67" s="110"/>
      <c r="G67" s="59" t="s">
        <v>326</v>
      </c>
      <c r="H67" s="11" t="s">
        <v>369</v>
      </c>
      <c r="I67" s="14"/>
      <c r="J67" s="49"/>
      <c r="K67" s="53">
        <f t="shared" si="6"/>
        <v>6</v>
      </c>
      <c r="L67" s="4"/>
      <c r="M67" s="51"/>
      <c r="N67" s="51"/>
      <c r="O67" s="51"/>
      <c r="P67" s="51"/>
      <c r="Q67" s="51"/>
      <c r="R67" s="51"/>
      <c r="S67" s="51"/>
      <c r="T67" s="51"/>
    </row>
    <row r="68" spans="1:20" ht="30" x14ac:dyDescent="0.25">
      <c r="A68" s="149"/>
      <c r="B68" s="152"/>
      <c r="C68" s="152"/>
      <c r="D68" s="8"/>
      <c r="E68" s="9"/>
      <c r="F68" s="110"/>
      <c r="G68" s="108" t="s">
        <v>355</v>
      </c>
      <c r="H68" s="107" t="s">
        <v>370</v>
      </c>
      <c r="I68" s="14"/>
      <c r="J68" s="49"/>
      <c r="K68" s="53"/>
      <c r="L68" s="4"/>
      <c r="M68" s="51"/>
      <c r="N68" s="51"/>
      <c r="O68" s="51"/>
      <c r="P68" s="51"/>
      <c r="Q68" s="51"/>
      <c r="R68" s="51"/>
      <c r="S68" s="51"/>
      <c r="T68" s="51"/>
    </row>
    <row r="69" spans="1:20" x14ac:dyDescent="0.25">
      <c r="A69" s="149"/>
      <c r="B69" s="152"/>
      <c r="C69" s="152"/>
      <c r="D69" s="8"/>
      <c r="E69" s="9"/>
      <c r="F69" s="110"/>
      <c r="G69" s="59" t="s">
        <v>329</v>
      </c>
      <c r="H69" s="11" t="s">
        <v>371</v>
      </c>
      <c r="I69" s="14"/>
      <c r="J69" s="49"/>
      <c r="K69" s="53"/>
      <c r="L69" s="4"/>
      <c r="M69" s="51"/>
      <c r="N69" s="51"/>
      <c r="O69" s="51"/>
      <c r="P69" s="51"/>
      <c r="Q69" s="51"/>
      <c r="R69" s="51"/>
      <c r="S69" s="51"/>
      <c r="T69" s="51"/>
    </row>
    <row r="70" spans="1:20" x14ac:dyDescent="0.25">
      <c r="A70" s="149"/>
      <c r="B70" s="152"/>
      <c r="C70" s="152"/>
      <c r="D70" s="8"/>
      <c r="E70" s="9"/>
      <c r="F70" s="110"/>
      <c r="G70" s="59" t="s">
        <v>330</v>
      </c>
      <c r="H70" s="11" t="s">
        <v>372</v>
      </c>
      <c r="I70" s="14"/>
      <c r="J70" s="49"/>
      <c r="K70" s="53"/>
      <c r="L70" s="4"/>
      <c r="M70" s="51"/>
      <c r="N70" s="51"/>
      <c r="O70" s="51"/>
      <c r="P70" s="51"/>
      <c r="Q70" s="51"/>
      <c r="R70" s="51"/>
      <c r="S70" s="51"/>
      <c r="T70" s="51"/>
    </row>
    <row r="71" spans="1:20" x14ac:dyDescent="0.25">
      <c r="A71" s="149"/>
      <c r="B71" s="152"/>
      <c r="C71" s="152"/>
      <c r="D71" s="8">
        <v>19</v>
      </c>
      <c r="E71" s="9" t="str">
        <f t="shared" si="7"/>
        <v>6-19</v>
      </c>
      <c r="F71" s="110"/>
      <c r="G71" s="59" t="s">
        <v>156</v>
      </c>
      <c r="H71" s="11" t="s">
        <v>159</v>
      </c>
      <c r="I71" s="14">
        <v>1</v>
      </c>
      <c r="J71" s="49"/>
      <c r="K71" s="53">
        <f>IF(ISNUMBER(A71)=TRUE,A71,K67)</f>
        <v>6</v>
      </c>
      <c r="L71" s="4"/>
      <c r="M71" s="51"/>
      <c r="N71" s="51"/>
      <c r="O71" s="51"/>
      <c r="P71" s="51"/>
      <c r="Q71" s="51"/>
      <c r="R71" s="51"/>
      <c r="S71" s="51"/>
      <c r="T71" s="51"/>
    </row>
    <row r="72" spans="1:20" ht="15.75" thickBot="1" x14ac:dyDescent="0.3">
      <c r="A72" s="150"/>
      <c r="B72" s="153"/>
      <c r="C72" s="153"/>
      <c r="D72" s="16">
        <v>20</v>
      </c>
      <c r="E72" s="17" t="str">
        <f t="shared" si="7"/>
        <v>6-20</v>
      </c>
      <c r="F72" s="111"/>
      <c r="G72" s="60" t="s">
        <v>157</v>
      </c>
      <c r="H72" s="19" t="s">
        <v>158</v>
      </c>
      <c r="I72" s="20"/>
      <c r="J72" s="50"/>
      <c r="K72" s="53">
        <f t="shared" si="6"/>
        <v>6</v>
      </c>
      <c r="L72" s="4"/>
      <c r="M72" s="51"/>
      <c r="N72" s="51"/>
      <c r="O72" s="51"/>
      <c r="P72" s="51"/>
      <c r="Q72" s="51"/>
      <c r="R72" s="51"/>
      <c r="S72" s="51"/>
      <c r="T72" s="51"/>
    </row>
    <row r="73" spans="1:20" x14ac:dyDescent="0.25">
      <c r="D73" s="54"/>
      <c r="E73" s="54"/>
      <c r="F73" s="54"/>
      <c r="G73" s="51"/>
      <c r="H73" s="51"/>
      <c r="I73" s="51"/>
      <c r="J73" s="51"/>
      <c r="K73" s="53">
        <f t="shared" si="3"/>
        <v>6</v>
      </c>
      <c r="L73" s="51"/>
      <c r="M73" s="51"/>
      <c r="N73" s="51"/>
      <c r="O73" s="51"/>
      <c r="P73" s="51"/>
      <c r="Q73" s="51"/>
      <c r="R73" s="51"/>
      <c r="S73" s="51"/>
      <c r="T73" s="51"/>
    </row>
    <row r="74" spans="1:20" x14ac:dyDescent="0.25">
      <c r="D74" s="54"/>
      <c r="E74" s="54"/>
      <c r="F74" s="54"/>
      <c r="G74" s="51"/>
      <c r="H74" s="51"/>
      <c r="I74" s="51"/>
      <c r="J74" s="51"/>
      <c r="K74" s="53">
        <f t="shared" si="3"/>
        <v>6</v>
      </c>
      <c r="L74" s="51"/>
      <c r="M74" s="51"/>
      <c r="N74" s="51"/>
      <c r="O74" s="51"/>
      <c r="P74" s="51"/>
      <c r="Q74" s="51"/>
      <c r="R74" s="51"/>
      <c r="S74" s="51"/>
      <c r="T74" s="51"/>
    </row>
    <row r="75" spans="1:20" x14ac:dyDescent="0.25">
      <c r="D75" s="54"/>
      <c r="E75" s="54"/>
      <c r="F75" s="54"/>
      <c r="G75" s="51"/>
      <c r="H75" s="51"/>
      <c r="I75" s="51"/>
      <c r="J75" s="51"/>
      <c r="K75" s="53">
        <f t="shared" si="3"/>
        <v>6</v>
      </c>
      <c r="L75" s="51"/>
      <c r="M75" s="51"/>
      <c r="N75" s="51"/>
      <c r="O75" s="51"/>
      <c r="P75" s="51"/>
      <c r="Q75" s="51"/>
      <c r="R75" s="51"/>
      <c r="S75" s="51"/>
      <c r="T75" s="51"/>
    </row>
    <row r="76" spans="1:20" x14ac:dyDescent="0.25">
      <c r="D76" s="54"/>
      <c r="E76" s="54"/>
      <c r="F76" s="54"/>
      <c r="G76" s="51"/>
      <c r="H76" s="51"/>
      <c r="I76" s="51"/>
      <c r="J76" s="51"/>
      <c r="K76" s="53">
        <f t="shared" si="3"/>
        <v>6</v>
      </c>
      <c r="L76" s="51"/>
      <c r="M76" s="51"/>
      <c r="N76" s="51"/>
      <c r="O76" s="51"/>
      <c r="P76" s="51"/>
      <c r="Q76" s="51"/>
      <c r="R76" s="51"/>
      <c r="S76" s="51"/>
      <c r="T76" s="51"/>
    </row>
    <row r="77" spans="1:20" x14ac:dyDescent="0.25">
      <c r="D77" s="54"/>
      <c r="E77" s="54"/>
      <c r="F77" s="54"/>
      <c r="G77" s="51"/>
      <c r="H77" s="51"/>
      <c r="I77" s="51"/>
      <c r="J77" s="51"/>
      <c r="K77" s="53">
        <f t="shared" ref="K77:K140" si="8">IF(ISNUMBER(A77)=TRUE,A77,K76)</f>
        <v>6</v>
      </c>
      <c r="L77" s="51"/>
      <c r="M77" s="51"/>
      <c r="N77" s="51"/>
      <c r="O77" s="51"/>
      <c r="P77" s="51"/>
      <c r="Q77" s="51"/>
      <c r="R77" s="51"/>
      <c r="S77" s="51"/>
      <c r="T77" s="51"/>
    </row>
    <row r="78" spans="1:20" x14ac:dyDescent="0.25">
      <c r="D78" s="54"/>
      <c r="E78" s="54"/>
      <c r="F78" s="54"/>
      <c r="G78" s="51"/>
      <c r="H78" s="51"/>
      <c r="I78" s="51"/>
      <c r="J78" s="51"/>
      <c r="K78" s="53">
        <f t="shared" si="8"/>
        <v>6</v>
      </c>
      <c r="L78" s="51"/>
      <c r="M78" s="51"/>
      <c r="N78" s="51"/>
      <c r="O78" s="51"/>
      <c r="P78" s="51"/>
      <c r="Q78" s="51"/>
      <c r="R78" s="51"/>
      <c r="S78" s="51"/>
      <c r="T78" s="51"/>
    </row>
    <row r="79" spans="1:20" x14ac:dyDescent="0.25">
      <c r="D79" s="54"/>
      <c r="E79" s="54"/>
      <c r="F79" s="54"/>
      <c r="G79" s="51"/>
      <c r="H79" s="51"/>
      <c r="I79" s="51"/>
      <c r="J79" s="51"/>
      <c r="K79" s="53">
        <f t="shared" si="8"/>
        <v>6</v>
      </c>
      <c r="L79" s="51"/>
      <c r="M79" s="51"/>
      <c r="N79" s="51"/>
      <c r="O79" s="51"/>
      <c r="P79" s="51"/>
      <c r="Q79" s="51"/>
      <c r="R79" s="51"/>
      <c r="S79" s="51"/>
      <c r="T79" s="51"/>
    </row>
    <row r="80" spans="1:20" x14ac:dyDescent="0.25">
      <c r="D80" s="54"/>
      <c r="E80" s="54"/>
      <c r="F80" s="54"/>
      <c r="G80" s="51"/>
      <c r="H80" s="51"/>
      <c r="I80" s="51"/>
      <c r="J80" s="51"/>
      <c r="K80" s="53">
        <f t="shared" si="8"/>
        <v>6</v>
      </c>
      <c r="L80" s="51"/>
      <c r="M80" s="51"/>
      <c r="N80" s="51"/>
      <c r="O80" s="51"/>
      <c r="P80" s="51"/>
      <c r="Q80" s="51"/>
      <c r="R80" s="51"/>
      <c r="S80" s="51"/>
      <c r="T80" s="51"/>
    </row>
    <row r="81" spans="4:20" x14ac:dyDescent="0.25">
      <c r="D81" s="54"/>
      <c r="E81" s="54"/>
      <c r="F81" s="54"/>
      <c r="G81" s="51"/>
      <c r="H81" s="51"/>
      <c r="I81" s="51"/>
      <c r="J81" s="51"/>
      <c r="K81" s="53">
        <f t="shared" si="8"/>
        <v>6</v>
      </c>
      <c r="L81" s="51"/>
      <c r="M81" s="51"/>
      <c r="N81" s="51"/>
      <c r="O81" s="51"/>
      <c r="P81" s="51"/>
      <c r="Q81" s="51"/>
      <c r="R81" s="51"/>
      <c r="S81" s="51"/>
      <c r="T81" s="51"/>
    </row>
    <row r="82" spans="4:20" x14ac:dyDescent="0.25">
      <c r="D82" s="54"/>
      <c r="E82" s="54"/>
      <c r="F82" s="54"/>
      <c r="G82" s="51"/>
      <c r="H82" s="51"/>
      <c r="I82" s="51"/>
      <c r="J82" s="51"/>
      <c r="K82" s="53">
        <f t="shared" si="8"/>
        <v>6</v>
      </c>
      <c r="L82" s="51"/>
      <c r="M82" s="51"/>
      <c r="N82" s="51"/>
      <c r="O82" s="51"/>
      <c r="P82" s="51"/>
      <c r="Q82" s="51"/>
      <c r="R82" s="51"/>
      <c r="S82" s="51"/>
      <c r="T82" s="51"/>
    </row>
    <row r="83" spans="4:20" x14ac:dyDescent="0.25">
      <c r="D83" s="54"/>
      <c r="E83" s="54"/>
      <c r="F83" s="54"/>
      <c r="G83" s="51"/>
      <c r="H83" s="51"/>
      <c r="I83" s="51"/>
      <c r="J83" s="51"/>
      <c r="K83" s="53">
        <f t="shared" si="8"/>
        <v>6</v>
      </c>
      <c r="L83" s="51"/>
      <c r="M83" s="51"/>
      <c r="N83" s="51"/>
      <c r="O83" s="51"/>
      <c r="P83" s="51"/>
      <c r="Q83" s="51"/>
      <c r="R83" s="51"/>
      <c r="S83" s="51"/>
      <c r="T83" s="51"/>
    </row>
    <row r="84" spans="4:20" x14ac:dyDescent="0.25">
      <c r="D84" s="54"/>
      <c r="E84" s="54"/>
      <c r="F84" s="54"/>
      <c r="G84" s="51"/>
      <c r="H84" s="51"/>
      <c r="I84" s="51"/>
      <c r="J84" s="51"/>
      <c r="K84" s="53">
        <f t="shared" si="8"/>
        <v>6</v>
      </c>
      <c r="L84" s="51"/>
      <c r="M84" s="51"/>
      <c r="N84" s="51"/>
      <c r="O84" s="51"/>
      <c r="P84" s="51"/>
      <c r="Q84" s="51"/>
      <c r="R84" s="51"/>
      <c r="S84" s="51"/>
      <c r="T84" s="51"/>
    </row>
    <row r="85" spans="4:20" x14ac:dyDescent="0.25">
      <c r="D85" s="54"/>
      <c r="E85" s="54"/>
      <c r="F85" s="54"/>
      <c r="G85" s="51"/>
      <c r="H85" s="51"/>
      <c r="I85" s="51"/>
      <c r="J85" s="51"/>
      <c r="K85" s="53">
        <f t="shared" si="8"/>
        <v>6</v>
      </c>
      <c r="L85" s="51"/>
      <c r="M85" s="51"/>
      <c r="N85" s="51"/>
      <c r="O85" s="51"/>
      <c r="P85" s="51"/>
      <c r="Q85" s="51"/>
      <c r="R85" s="51"/>
      <c r="S85" s="51"/>
      <c r="T85" s="51"/>
    </row>
    <row r="86" spans="4:20" x14ac:dyDescent="0.25">
      <c r="D86" s="54"/>
      <c r="E86" s="54"/>
      <c r="F86" s="54"/>
      <c r="G86" s="51"/>
      <c r="H86" s="51"/>
      <c r="I86" s="51"/>
      <c r="J86" s="51"/>
      <c r="K86" s="53">
        <f t="shared" si="8"/>
        <v>6</v>
      </c>
      <c r="L86" s="51"/>
      <c r="M86" s="51"/>
      <c r="N86" s="51"/>
      <c r="O86" s="51"/>
      <c r="P86" s="51"/>
      <c r="Q86" s="51"/>
      <c r="R86" s="51"/>
      <c r="S86" s="51"/>
      <c r="T86" s="51"/>
    </row>
    <row r="87" spans="4:20" x14ac:dyDescent="0.25">
      <c r="D87" s="54"/>
      <c r="E87" s="54"/>
      <c r="F87" s="54"/>
      <c r="G87" s="51"/>
      <c r="H87" s="51"/>
      <c r="I87" s="51"/>
      <c r="J87" s="51"/>
      <c r="K87" s="53">
        <f t="shared" si="8"/>
        <v>6</v>
      </c>
      <c r="L87" s="51"/>
      <c r="M87" s="51"/>
      <c r="N87" s="51"/>
      <c r="O87" s="51"/>
      <c r="P87" s="51"/>
      <c r="Q87" s="51"/>
      <c r="R87" s="51"/>
      <c r="S87" s="51"/>
      <c r="T87" s="51"/>
    </row>
    <row r="88" spans="4:20" x14ac:dyDescent="0.25">
      <c r="D88" s="54"/>
      <c r="E88" s="54"/>
      <c r="F88" s="54"/>
      <c r="G88" s="51"/>
      <c r="H88" s="51"/>
      <c r="I88" s="51"/>
      <c r="J88" s="51"/>
      <c r="K88" s="53">
        <f t="shared" si="8"/>
        <v>6</v>
      </c>
      <c r="L88" s="51"/>
      <c r="M88" s="51"/>
      <c r="N88" s="51"/>
      <c r="O88" s="51"/>
      <c r="P88" s="51"/>
      <c r="Q88" s="51"/>
      <c r="R88" s="51"/>
      <c r="S88" s="51"/>
      <c r="T88" s="51"/>
    </row>
    <row r="89" spans="4:20" x14ac:dyDescent="0.25">
      <c r="D89" s="54"/>
      <c r="E89" s="54"/>
      <c r="F89" s="54"/>
      <c r="G89" s="51"/>
      <c r="H89" s="51"/>
      <c r="I89" s="51"/>
      <c r="J89" s="51"/>
      <c r="K89" s="53">
        <f t="shared" si="8"/>
        <v>6</v>
      </c>
      <c r="L89" s="51"/>
      <c r="M89" s="51"/>
      <c r="N89" s="51"/>
      <c r="O89" s="51"/>
      <c r="P89" s="51"/>
      <c r="Q89" s="51"/>
      <c r="R89" s="51"/>
      <c r="S89" s="51"/>
      <c r="T89" s="51"/>
    </row>
    <row r="90" spans="4:20" x14ac:dyDescent="0.25">
      <c r="D90" s="54"/>
      <c r="E90" s="54"/>
      <c r="F90" s="54"/>
      <c r="G90" s="51"/>
      <c r="H90" s="51"/>
      <c r="I90" s="51"/>
      <c r="J90" s="51"/>
      <c r="K90" s="53">
        <f t="shared" si="8"/>
        <v>6</v>
      </c>
      <c r="L90" s="51"/>
      <c r="M90" s="51"/>
      <c r="N90" s="51"/>
      <c r="O90" s="51"/>
      <c r="P90" s="51"/>
      <c r="Q90" s="51"/>
      <c r="R90" s="51"/>
      <c r="S90" s="51"/>
      <c r="T90" s="51"/>
    </row>
    <row r="91" spans="4:20" x14ac:dyDescent="0.25">
      <c r="D91" s="54"/>
      <c r="E91" s="54"/>
      <c r="F91" s="54"/>
      <c r="G91" s="51"/>
      <c r="H91" s="51"/>
      <c r="I91" s="51"/>
      <c r="J91" s="51"/>
      <c r="K91" s="53">
        <f t="shared" si="8"/>
        <v>6</v>
      </c>
      <c r="L91" s="51"/>
      <c r="M91" s="51"/>
      <c r="N91" s="51"/>
      <c r="O91" s="51"/>
      <c r="P91" s="51"/>
      <c r="Q91" s="51"/>
      <c r="R91" s="51"/>
      <c r="S91" s="51"/>
      <c r="T91" s="51"/>
    </row>
    <row r="92" spans="4:20" x14ac:dyDescent="0.25">
      <c r="D92" s="54"/>
      <c r="E92" s="54"/>
      <c r="F92" s="54"/>
      <c r="G92" s="51"/>
      <c r="H92" s="51"/>
      <c r="I92" s="51"/>
      <c r="J92" s="51"/>
      <c r="K92" s="53">
        <f t="shared" si="8"/>
        <v>6</v>
      </c>
      <c r="L92" s="51"/>
      <c r="M92" s="51"/>
      <c r="N92" s="51"/>
      <c r="O92" s="51"/>
      <c r="P92" s="51"/>
      <c r="Q92" s="51"/>
      <c r="R92" s="51"/>
      <c r="S92" s="51"/>
      <c r="T92" s="51"/>
    </row>
    <row r="93" spans="4:20" x14ac:dyDescent="0.25">
      <c r="D93" s="54"/>
      <c r="E93" s="54"/>
      <c r="F93" s="54"/>
      <c r="G93" s="51"/>
      <c r="H93" s="51"/>
      <c r="I93" s="51"/>
      <c r="J93" s="51"/>
      <c r="K93" s="53">
        <f t="shared" si="8"/>
        <v>6</v>
      </c>
      <c r="L93" s="51"/>
      <c r="M93" s="51"/>
      <c r="N93" s="51"/>
      <c r="O93" s="51"/>
      <c r="P93" s="51"/>
      <c r="Q93" s="51"/>
      <c r="R93" s="51"/>
      <c r="S93" s="51"/>
      <c r="T93" s="51"/>
    </row>
    <row r="94" spans="4:20" x14ac:dyDescent="0.25">
      <c r="D94" s="54"/>
      <c r="E94" s="54"/>
      <c r="F94" s="54"/>
      <c r="G94" s="51"/>
      <c r="H94" s="51"/>
      <c r="I94" s="51"/>
      <c r="J94" s="51"/>
      <c r="K94" s="53">
        <f t="shared" si="8"/>
        <v>6</v>
      </c>
      <c r="L94" s="51"/>
      <c r="M94" s="51"/>
      <c r="N94" s="51"/>
      <c r="O94" s="51"/>
      <c r="P94" s="51"/>
      <c r="Q94" s="51"/>
      <c r="R94" s="51"/>
      <c r="S94" s="51"/>
      <c r="T94" s="51"/>
    </row>
    <row r="95" spans="4:20" x14ac:dyDescent="0.25">
      <c r="D95" s="54"/>
      <c r="E95" s="54"/>
      <c r="F95" s="54"/>
      <c r="G95" s="51"/>
      <c r="H95" s="51"/>
      <c r="I95" s="51"/>
      <c r="J95" s="51"/>
      <c r="K95" s="53">
        <f t="shared" si="8"/>
        <v>6</v>
      </c>
      <c r="L95" s="51"/>
      <c r="M95" s="51"/>
      <c r="N95" s="51"/>
      <c r="O95" s="51"/>
      <c r="P95" s="51"/>
      <c r="Q95" s="51"/>
      <c r="R95" s="51"/>
      <c r="S95" s="51"/>
      <c r="T95" s="51"/>
    </row>
    <row r="96" spans="4:20" x14ac:dyDescent="0.25">
      <c r="D96" s="54"/>
      <c r="E96" s="54"/>
      <c r="F96" s="54"/>
      <c r="G96" s="51"/>
      <c r="H96" s="51"/>
      <c r="I96" s="51"/>
      <c r="J96" s="51"/>
      <c r="K96" s="53">
        <f t="shared" si="8"/>
        <v>6</v>
      </c>
      <c r="L96" s="51"/>
      <c r="M96" s="51"/>
      <c r="N96" s="51"/>
      <c r="O96" s="51"/>
      <c r="P96" s="51"/>
      <c r="Q96" s="51"/>
      <c r="R96" s="51"/>
      <c r="S96" s="51"/>
      <c r="T96" s="51"/>
    </row>
    <row r="97" spans="4:20" x14ac:dyDescent="0.25">
      <c r="D97" s="54"/>
      <c r="E97" s="54"/>
      <c r="F97" s="54"/>
      <c r="G97" s="51"/>
      <c r="H97" s="51"/>
      <c r="I97" s="51"/>
      <c r="J97" s="51"/>
      <c r="K97" s="53">
        <f t="shared" si="8"/>
        <v>6</v>
      </c>
      <c r="L97" s="51"/>
      <c r="M97" s="51"/>
      <c r="N97" s="51"/>
      <c r="O97" s="51"/>
      <c r="P97" s="51"/>
      <c r="Q97" s="51"/>
      <c r="R97" s="51"/>
      <c r="S97" s="51"/>
      <c r="T97" s="51"/>
    </row>
    <row r="98" spans="4:20" x14ac:dyDescent="0.25">
      <c r="D98" s="54"/>
      <c r="E98" s="54"/>
      <c r="F98" s="54"/>
      <c r="G98" s="51"/>
      <c r="H98" s="51"/>
      <c r="I98" s="51"/>
      <c r="J98" s="51"/>
      <c r="K98" s="53">
        <f t="shared" si="8"/>
        <v>6</v>
      </c>
      <c r="L98" s="51"/>
      <c r="M98" s="51"/>
      <c r="N98" s="51"/>
      <c r="O98" s="51"/>
      <c r="P98" s="51"/>
      <c r="Q98" s="51"/>
      <c r="R98" s="51"/>
      <c r="S98" s="51"/>
      <c r="T98" s="51"/>
    </row>
    <row r="99" spans="4:20" x14ac:dyDescent="0.25">
      <c r="D99" s="54"/>
      <c r="E99" s="54"/>
      <c r="F99" s="54"/>
      <c r="G99" s="51"/>
      <c r="H99" s="51"/>
      <c r="I99" s="51"/>
      <c r="J99" s="51"/>
      <c r="K99" s="53">
        <f t="shared" si="8"/>
        <v>6</v>
      </c>
      <c r="L99" s="51"/>
      <c r="M99" s="51"/>
      <c r="N99" s="51"/>
      <c r="O99" s="51"/>
      <c r="P99" s="51"/>
      <c r="Q99" s="51"/>
      <c r="R99" s="51"/>
      <c r="S99" s="51"/>
      <c r="T99" s="51"/>
    </row>
    <row r="100" spans="4:20" x14ac:dyDescent="0.25">
      <c r="D100" s="54"/>
      <c r="E100" s="54"/>
      <c r="F100" s="54"/>
      <c r="G100" s="51"/>
      <c r="H100" s="51"/>
      <c r="I100" s="51"/>
      <c r="J100" s="51"/>
      <c r="K100" s="53">
        <f t="shared" si="8"/>
        <v>6</v>
      </c>
      <c r="L100" s="51"/>
      <c r="M100" s="51"/>
      <c r="N100" s="51"/>
      <c r="O100" s="51"/>
      <c r="P100" s="51"/>
      <c r="Q100" s="51"/>
      <c r="R100" s="51"/>
      <c r="S100" s="51"/>
      <c r="T100" s="51"/>
    </row>
    <row r="101" spans="4:20" x14ac:dyDescent="0.25">
      <c r="D101" s="54"/>
      <c r="E101" s="54"/>
      <c r="F101" s="54"/>
      <c r="G101" s="51"/>
      <c r="H101" s="51"/>
      <c r="I101" s="51"/>
      <c r="J101" s="51"/>
      <c r="K101" s="53">
        <f t="shared" si="8"/>
        <v>6</v>
      </c>
      <c r="L101" s="51"/>
      <c r="M101" s="51"/>
      <c r="N101" s="51"/>
      <c r="O101" s="51"/>
      <c r="P101" s="51"/>
      <c r="Q101" s="51"/>
      <c r="R101" s="51"/>
      <c r="S101" s="51"/>
      <c r="T101" s="51"/>
    </row>
    <row r="102" spans="4:20" x14ac:dyDescent="0.25">
      <c r="D102" s="54"/>
      <c r="E102" s="54"/>
      <c r="F102" s="54"/>
      <c r="G102" s="51"/>
      <c r="H102" s="51"/>
      <c r="I102" s="51"/>
      <c r="J102" s="51"/>
      <c r="K102" s="53">
        <f t="shared" si="8"/>
        <v>6</v>
      </c>
      <c r="L102" s="51"/>
      <c r="M102" s="51"/>
      <c r="N102" s="51"/>
      <c r="O102" s="51"/>
      <c r="P102" s="51"/>
      <c r="Q102" s="51"/>
      <c r="R102" s="51"/>
      <c r="S102" s="51"/>
      <c r="T102" s="51"/>
    </row>
    <row r="103" spans="4:20" x14ac:dyDescent="0.25">
      <c r="D103" s="54"/>
      <c r="E103" s="54"/>
      <c r="F103" s="54"/>
      <c r="G103" s="51"/>
      <c r="H103" s="51"/>
      <c r="I103" s="51"/>
      <c r="J103" s="51"/>
      <c r="K103" s="53">
        <f t="shared" si="8"/>
        <v>6</v>
      </c>
      <c r="L103" s="51"/>
      <c r="M103" s="51"/>
      <c r="N103" s="51"/>
      <c r="O103" s="51"/>
      <c r="P103" s="51"/>
      <c r="Q103" s="51"/>
      <c r="R103" s="51"/>
      <c r="S103" s="51"/>
      <c r="T103" s="51"/>
    </row>
    <row r="104" spans="4:20" x14ac:dyDescent="0.25">
      <c r="D104" s="54"/>
      <c r="E104" s="54"/>
      <c r="F104" s="54"/>
      <c r="G104" s="51"/>
      <c r="H104" s="51"/>
      <c r="I104" s="51"/>
      <c r="J104" s="51"/>
      <c r="K104" s="53">
        <f t="shared" si="8"/>
        <v>6</v>
      </c>
      <c r="L104" s="51"/>
      <c r="M104" s="51"/>
      <c r="N104" s="51"/>
      <c r="O104" s="51"/>
      <c r="P104" s="51"/>
      <c r="Q104" s="51"/>
      <c r="R104" s="51"/>
      <c r="S104" s="51"/>
      <c r="T104" s="51"/>
    </row>
    <row r="105" spans="4:20" x14ac:dyDescent="0.25">
      <c r="D105" s="54"/>
      <c r="E105" s="54"/>
      <c r="F105" s="54"/>
      <c r="G105" s="51"/>
      <c r="H105" s="51"/>
      <c r="I105" s="51"/>
      <c r="J105" s="51"/>
      <c r="K105" s="53">
        <f t="shared" si="8"/>
        <v>6</v>
      </c>
      <c r="L105" s="51"/>
      <c r="M105" s="51"/>
      <c r="N105" s="51"/>
      <c r="O105" s="51"/>
      <c r="P105" s="51"/>
      <c r="Q105" s="51"/>
      <c r="R105" s="51"/>
      <c r="S105" s="51"/>
      <c r="T105" s="51"/>
    </row>
    <row r="106" spans="4:20" x14ac:dyDescent="0.25">
      <c r="D106" s="54"/>
      <c r="E106" s="54"/>
      <c r="F106" s="54"/>
      <c r="G106" s="51"/>
      <c r="H106" s="51"/>
      <c r="I106" s="51"/>
      <c r="J106" s="51"/>
      <c r="K106" s="53">
        <f t="shared" si="8"/>
        <v>6</v>
      </c>
      <c r="L106" s="51"/>
      <c r="M106" s="51"/>
      <c r="N106" s="51"/>
      <c r="O106" s="51"/>
      <c r="P106" s="51"/>
      <c r="Q106" s="51"/>
      <c r="R106" s="51"/>
      <c r="S106" s="51"/>
      <c r="T106" s="51"/>
    </row>
    <row r="107" spans="4:20" x14ac:dyDescent="0.25">
      <c r="D107" s="54"/>
      <c r="E107" s="54"/>
      <c r="F107" s="54"/>
      <c r="G107" s="51"/>
      <c r="H107" s="51"/>
      <c r="I107" s="51"/>
      <c r="J107" s="51"/>
      <c r="K107" s="53">
        <f t="shared" si="8"/>
        <v>6</v>
      </c>
      <c r="L107" s="51"/>
      <c r="M107" s="51"/>
      <c r="N107" s="51"/>
      <c r="O107" s="51"/>
      <c r="P107" s="51"/>
      <c r="Q107" s="51"/>
      <c r="R107" s="51"/>
      <c r="S107" s="51"/>
      <c r="T107" s="51"/>
    </row>
    <row r="108" spans="4:20" x14ac:dyDescent="0.25">
      <c r="D108" s="54"/>
      <c r="E108" s="54"/>
      <c r="F108" s="54"/>
      <c r="G108" s="51"/>
      <c r="H108" s="51"/>
      <c r="I108" s="51"/>
      <c r="J108" s="51"/>
      <c r="K108" s="53">
        <f t="shared" si="8"/>
        <v>6</v>
      </c>
      <c r="L108" s="51"/>
      <c r="M108" s="51"/>
      <c r="N108" s="51"/>
      <c r="O108" s="51"/>
      <c r="P108" s="51"/>
      <c r="Q108" s="51"/>
      <c r="R108" s="51"/>
      <c r="S108" s="51"/>
      <c r="T108" s="51"/>
    </row>
    <row r="109" spans="4:20" x14ac:dyDescent="0.25">
      <c r="D109" s="54"/>
      <c r="E109" s="54"/>
      <c r="F109" s="54"/>
      <c r="G109" s="51"/>
      <c r="H109" s="51"/>
      <c r="I109" s="51"/>
      <c r="J109" s="51"/>
      <c r="K109" s="53">
        <f t="shared" si="8"/>
        <v>6</v>
      </c>
      <c r="L109" s="51"/>
      <c r="M109" s="51"/>
      <c r="N109" s="51"/>
      <c r="O109" s="51"/>
      <c r="P109" s="51"/>
      <c r="Q109" s="51"/>
      <c r="R109" s="51"/>
      <c r="S109" s="51"/>
      <c r="T109" s="51"/>
    </row>
    <row r="110" spans="4:20" x14ac:dyDescent="0.25">
      <c r="D110" s="54"/>
      <c r="E110" s="54"/>
      <c r="F110" s="54"/>
      <c r="G110" s="51"/>
      <c r="H110" s="51"/>
      <c r="I110" s="51"/>
      <c r="J110" s="51"/>
      <c r="K110" s="53">
        <f t="shared" si="8"/>
        <v>6</v>
      </c>
      <c r="L110" s="51"/>
      <c r="M110" s="51"/>
      <c r="N110" s="51"/>
      <c r="O110" s="51"/>
      <c r="P110" s="51"/>
      <c r="Q110" s="51"/>
      <c r="R110" s="51"/>
      <c r="S110" s="51"/>
      <c r="T110" s="51"/>
    </row>
    <row r="111" spans="4:20" x14ac:dyDescent="0.25">
      <c r="D111" s="54"/>
      <c r="E111" s="54"/>
      <c r="F111" s="54"/>
      <c r="G111" s="51"/>
      <c r="H111" s="51"/>
      <c r="I111" s="51"/>
      <c r="J111" s="51"/>
      <c r="K111" s="53">
        <f t="shared" si="8"/>
        <v>6</v>
      </c>
      <c r="L111" s="51"/>
      <c r="M111" s="51"/>
      <c r="N111" s="51"/>
      <c r="O111" s="51"/>
      <c r="P111" s="51"/>
      <c r="Q111" s="51"/>
      <c r="R111" s="51"/>
      <c r="S111" s="51"/>
      <c r="T111" s="51"/>
    </row>
    <row r="112" spans="4:20" x14ac:dyDescent="0.25">
      <c r="D112" s="54"/>
      <c r="E112" s="54"/>
      <c r="F112" s="54"/>
      <c r="G112" s="51"/>
      <c r="H112" s="51"/>
      <c r="I112" s="51"/>
      <c r="J112" s="51"/>
      <c r="K112" s="53">
        <f t="shared" si="8"/>
        <v>6</v>
      </c>
      <c r="L112" s="51"/>
      <c r="M112" s="51"/>
      <c r="N112" s="51"/>
      <c r="O112" s="51"/>
      <c r="P112" s="51"/>
      <c r="Q112" s="51"/>
      <c r="R112" s="51"/>
      <c r="S112" s="51"/>
      <c r="T112" s="51"/>
    </row>
    <row r="113" spans="4:20" x14ac:dyDescent="0.25">
      <c r="D113" s="54"/>
      <c r="E113" s="54"/>
      <c r="F113" s="54"/>
      <c r="G113" s="51"/>
      <c r="H113" s="51"/>
      <c r="I113" s="51"/>
      <c r="J113" s="51"/>
      <c r="K113" s="53">
        <f t="shared" si="8"/>
        <v>6</v>
      </c>
      <c r="L113" s="51"/>
      <c r="M113" s="51"/>
      <c r="N113" s="51"/>
      <c r="O113" s="51"/>
      <c r="P113" s="51"/>
      <c r="Q113" s="51"/>
      <c r="R113" s="51"/>
      <c r="S113" s="51"/>
      <c r="T113" s="51"/>
    </row>
    <row r="114" spans="4:20" x14ac:dyDescent="0.25">
      <c r="D114" s="54"/>
      <c r="E114" s="54"/>
      <c r="F114" s="54"/>
      <c r="G114" s="51"/>
      <c r="H114" s="51"/>
      <c r="I114" s="51"/>
      <c r="J114" s="51"/>
      <c r="K114" s="53">
        <f t="shared" si="8"/>
        <v>6</v>
      </c>
      <c r="L114" s="51"/>
      <c r="M114" s="51"/>
      <c r="N114" s="51"/>
      <c r="O114" s="51"/>
      <c r="P114" s="51"/>
      <c r="Q114" s="51"/>
      <c r="R114" s="51"/>
      <c r="S114" s="51"/>
      <c r="T114" s="51"/>
    </row>
    <row r="115" spans="4:20" x14ac:dyDescent="0.25">
      <c r="D115" s="54"/>
      <c r="E115" s="54"/>
      <c r="F115" s="54"/>
      <c r="G115" s="51"/>
      <c r="H115" s="51"/>
      <c r="I115" s="51"/>
      <c r="J115" s="51"/>
      <c r="K115" s="53">
        <f t="shared" si="8"/>
        <v>6</v>
      </c>
      <c r="L115" s="51"/>
      <c r="M115" s="51"/>
      <c r="N115" s="51"/>
      <c r="O115" s="51"/>
      <c r="P115" s="51"/>
      <c r="Q115" s="51"/>
      <c r="R115" s="51"/>
      <c r="S115" s="51"/>
      <c r="T115" s="51"/>
    </row>
    <row r="116" spans="4:20" x14ac:dyDescent="0.25">
      <c r="D116" s="54"/>
      <c r="E116" s="54"/>
      <c r="F116" s="54"/>
      <c r="G116" s="51"/>
      <c r="H116" s="51"/>
      <c r="I116" s="51"/>
      <c r="J116" s="51"/>
      <c r="K116" s="53">
        <f t="shared" si="8"/>
        <v>6</v>
      </c>
      <c r="L116" s="51"/>
      <c r="M116" s="51"/>
      <c r="N116" s="51"/>
      <c r="O116" s="51"/>
      <c r="P116" s="51"/>
      <c r="Q116" s="51"/>
      <c r="R116" s="51"/>
      <c r="S116" s="51"/>
      <c r="T116" s="51"/>
    </row>
    <row r="117" spans="4:20" x14ac:dyDescent="0.25">
      <c r="D117" s="54"/>
      <c r="E117" s="54"/>
      <c r="F117" s="54"/>
      <c r="G117" s="51"/>
      <c r="H117" s="51"/>
      <c r="I117" s="51"/>
      <c r="J117" s="51"/>
      <c r="K117" s="53">
        <f t="shared" si="8"/>
        <v>6</v>
      </c>
      <c r="L117" s="51"/>
      <c r="M117" s="51"/>
      <c r="N117" s="51"/>
      <c r="O117" s="51"/>
      <c r="P117" s="51"/>
      <c r="Q117" s="51"/>
      <c r="R117" s="51"/>
      <c r="S117" s="51"/>
      <c r="T117" s="51"/>
    </row>
    <row r="118" spans="4:20" x14ac:dyDescent="0.25">
      <c r="D118" s="54"/>
      <c r="E118" s="54"/>
      <c r="F118" s="54"/>
      <c r="G118" s="51"/>
      <c r="H118" s="51"/>
      <c r="I118" s="51"/>
      <c r="J118" s="51"/>
      <c r="K118" s="53">
        <f t="shared" si="8"/>
        <v>6</v>
      </c>
      <c r="L118" s="51"/>
      <c r="M118" s="51"/>
      <c r="N118" s="51"/>
      <c r="O118" s="51"/>
      <c r="P118" s="51"/>
      <c r="Q118" s="51"/>
      <c r="R118" s="51"/>
      <c r="S118" s="51"/>
      <c r="T118" s="51"/>
    </row>
    <row r="119" spans="4:20" x14ac:dyDescent="0.25">
      <c r="D119" s="54"/>
      <c r="E119" s="54"/>
      <c r="F119" s="54"/>
      <c r="G119" s="51"/>
      <c r="H119" s="51"/>
      <c r="I119" s="51"/>
      <c r="J119" s="51"/>
      <c r="K119" s="53">
        <f t="shared" si="8"/>
        <v>6</v>
      </c>
      <c r="L119" s="51"/>
      <c r="M119" s="51"/>
      <c r="N119" s="51"/>
      <c r="O119" s="51"/>
      <c r="P119" s="51"/>
      <c r="Q119" s="51"/>
      <c r="R119" s="51"/>
      <c r="S119" s="51"/>
      <c r="T119" s="51"/>
    </row>
    <row r="120" spans="4:20" x14ac:dyDescent="0.25">
      <c r="D120" s="54"/>
      <c r="E120" s="54"/>
      <c r="F120" s="54"/>
      <c r="G120" s="51"/>
      <c r="H120" s="51"/>
      <c r="I120" s="51"/>
      <c r="J120" s="51"/>
      <c r="K120" s="53">
        <f t="shared" si="8"/>
        <v>6</v>
      </c>
      <c r="L120" s="51"/>
      <c r="M120" s="51"/>
      <c r="N120" s="51"/>
      <c r="O120" s="51"/>
      <c r="P120" s="51"/>
      <c r="Q120" s="51"/>
      <c r="R120" s="51"/>
      <c r="S120" s="51"/>
      <c r="T120" s="51"/>
    </row>
    <row r="121" spans="4:20" x14ac:dyDescent="0.25">
      <c r="D121" s="54"/>
      <c r="E121" s="54"/>
      <c r="F121" s="54"/>
      <c r="G121" s="51"/>
      <c r="H121" s="51"/>
      <c r="I121" s="51"/>
      <c r="J121" s="51"/>
      <c r="K121" s="53">
        <f t="shared" si="8"/>
        <v>6</v>
      </c>
      <c r="L121" s="51"/>
      <c r="M121" s="51"/>
      <c r="N121" s="51"/>
      <c r="O121" s="51"/>
      <c r="P121" s="51"/>
      <c r="Q121" s="51"/>
      <c r="R121" s="51"/>
      <c r="S121" s="51"/>
      <c r="T121" s="51"/>
    </row>
    <row r="122" spans="4:20" x14ac:dyDescent="0.25">
      <c r="D122" s="54"/>
      <c r="E122" s="54"/>
      <c r="F122" s="54"/>
      <c r="G122" s="51"/>
      <c r="H122" s="51"/>
      <c r="I122" s="51"/>
      <c r="J122" s="51"/>
      <c r="K122" s="53">
        <f t="shared" si="8"/>
        <v>6</v>
      </c>
      <c r="L122" s="51"/>
      <c r="M122" s="51"/>
      <c r="N122" s="51"/>
      <c r="O122" s="51"/>
      <c r="P122" s="51"/>
      <c r="Q122" s="51"/>
      <c r="R122" s="51"/>
      <c r="S122" s="51"/>
      <c r="T122" s="51"/>
    </row>
    <row r="123" spans="4:20" x14ac:dyDescent="0.25">
      <c r="D123" s="54"/>
      <c r="E123" s="54"/>
      <c r="F123" s="54"/>
      <c r="G123" s="51"/>
      <c r="H123" s="51"/>
      <c r="I123" s="51"/>
      <c r="J123" s="51"/>
      <c r="K123" s="53">
        <f t="shared" si="8"/>
        <v>6</v>
      </c>
      <c r="L123" s="51"/>
      <c r="M123" s="51"/>
      <c r="N123" s="51"/>
      <c r="O123" s="51"/>
      <c r="P123" s="51"/>
      <c r="Q123" s="51"/>
      <c r="R123" s="51"/>
      <c r="S123" s="51"/>
      <c r="T123" s="51"/>
    </row>
    <row r="124" spans="4:20" x14ac:dyDescent="0.25">
      <c r="D124" s="54"/>
      <c r="E124" s="54"/>
      <c r="F124" s="54"/>
      <c r="G124" s="51"/>
      <c r="H124" s="51"/>
      <c r="I124" s="51"/>
      <c r="J124" s="51"/>
      <c r="K124" s="53">
        <f t="shared" si="8"/>
        <v>6</v>
      </c>
      <c r="L124" s="51"/>
      <c r="M124" s="51"/>
      <c r="N124" s="51"/>
      <c r="O124" s="51"/>
      <c r="P124" s="51"/>
      <c r="Q124" s="51"/>
      <c r="R124" s="51"/>
      <c r="S124" s="51"/>
      <c r="T124" s="51"/>
    </row>
    <row r="125" spans="4:20" x14ac:dyDescent="0.25">
      <c r="D125" s="54"/>
      <c r="E125" s="54"/>
      <c r="F125" s="54"/>
      <c r="G125" s="51"/>
      <c r="H125" s="51"/>
      <c r="I125" s="51"/>
      <c r="J125" s="51"/>
      <c r="K125" s="53">
        <f t="shared" si="8"/>
        <v>6</v>
      </c>
      <c r="L125" s="51"/>
      <c r="M125" s="51"/>
      <c r="N125" s="51"/>
      <c r="O125" s="51"/>
      <c r="P125" s="51"/>
      <c r="Q125" s="51"/>
      <c r="R125" s="51"/>
      <c r="S125" s="51"/>
      <c r="T125" s="51"/>
    </row>
    <row r="126" spans="4:20" x14ac:dyDescent="0.25">
      <c r="D126" s="54"/>
      <c r="E126" s="54"/>
      <c r="F126" s="54"/>
      <c r="G126" s="51"/>
      <c r="H126" s="51"/>
      <c r="I126" s="51"/>
      <c r="J126" s="51"/>
      <c r="K126" s="53">
        <f t="shared" si="8"/>
        <v>6</v>
      </c>
      <c r="L126" s="51"/>
      <c r="M126" s="51"/>
      <c r="N126" s="51"/>
      <c r="O126" s="51"/>
      <c r="P126" s="51"/>
      <c r="Q126" s="51"/>
      <c r="R126" s="51"/>
      <c r="S126" s="51"/>
      <c r="T126" s="51"/>
    </row>
    <row r="127" spans="4:20" x14ac:dyDescent="0.25">
      <c r="D127" s="54"/>
      <c r="E127" s="54"/>
      <c r="F127" s="54"/>
      <c r="G127" s="51"/>
      <c r="H127" s="51"/>
      <c r="I127" s="51"/>
      <c r="J127" s="51"/>
      <c r="K127" s="53">
        <f t="shared" si="8"/>
        <v>6</v>
      </c>
      <c r="L127" s="51"/>
      <c r="M127" s="51"/>
      <c r="N127" s="51"/>
      <c r="O127" s="51"/>
      <c r="P127" s="51"/>
      <c r="Q127" s="51"/>
      <c r="R127" s="51"/>
      <c r="S127" s="51"/>
      <c r="T127" s="51"/>
    </row>
    <row r="128" spans="4:20" x14ac:dyDescent="0.25">
      <c r="D128" s="54"/>
      <c r="E128" s="54"/>
      <c r="F128" s="54"/>
      <c r="G128" s="51"/>
      <c r="H128" s="51"/>
      <c r="I128" s="51"/>
      <c r="J128" s="51"/>
      <c r="K128" s="53">
        <f t="shared" si="8"/>
        <v>6</v>
      </c>
      <c r="L128" s="51"/>
      <c r="M128" s="51"/>
      <c r="N128" s="51"/>
      <c r="O128" s="51"/>
      <c r="P128" s="51"/>
      <c r="Q128" s="51"/>
      <c r="R128" s="51"/>
      <c r="S128" s="51"/>
      <c r="T128" s="51"/>
    </row>
    <row r="129" spans="4:20" x14ac:dyDescent="0.25">
      <c r="D129" s="54"/>
      <c r="E129" s="54"/>
      <c r="F129" s="54"/>
      <c r="G129" s="51"/>
      <c r="H129" s="51"/>
      <c r="I129" s="51"/>
      <c r="J129" s="51"/>
      <c r="K129" s="53">
        <f t="shared" si="8"/>
        <v>6</v>
      </c>
      <c r="L129" s="51"/>
      <c r="M129" s="51"/>
      <c r="N129" s="51"/>
      <c r="O129" s="51"/>
      <c r="P129" s="51"/>
      <c r="Q129" s="51"/>
      <c r="R129" s="51"/>
      <c r="S129" s="51"/>
      <c r="T129" s="51"/>
    </row>
    <row r="130" spans="4:20" x14ac:dyDescent="0.25">
      <c r="D130" s="54"/>
      <c r="E130" s="54"/>
      <c r="F130" s="54"/>
      <c r="G130" s="51"/>
      <c r="H130" s="51"/>
      <c r="I130" s="51"/>
      <c r="J130" s="51"/>
      <c r="K130" s="53">
        <f t="shared" si="8"/>
        <v>6</v>
      </c>
      <c r="L130" s="51"/>
      <c r="M130" s="51"/>
      <c r="N130" s="51"/>
      <c r="O130" s="51"/>
      <c r="P130" s="51"/>
      <c r="Q130" s="51"/>
      <c r="R130" s="51"/>
      <c r="S130" s="51"/>
      <c r="T130" s="51"/>
    </row>
    <row r="131" spans="4:20" x14ac:dyDescent="0.25">
      <c r="D131" s="54"/>
      <c r="E131" s="54"/>
      <c r="F131" s="54"/>
      <c r="G131" s="51"/>
      <c r="H131" s="51"/>
      <c r="I131" s="51"/>
      <c r="J131" s="51"/>
      <c r="K131" s="53">
        <f t="shared" si="8"/>
        <v>6</v>
      </c>
      <c r="L131" s="51"/>
      <c r="M131" s="51"/>
      <c r="N131" s="51"/>
      <c r="O131" s="51"/>
      <c r="P131" s="51"/>
      <c r="Q131" s="51"/>
      <c r="R131" s="51"/>
      <c r="S131" s="51"/>
      <c r="T131" s="51"/>
    </row>
    <row r="132" spans="4:20" x14ac:dyDescent="0.25">
      <c r="D132" s="54"/>
      <c r="E132" s="54"/>
      <c r="F132" s="54"/>
      <c r="G132" s="51"/>
      <c r="H132" s="51"/>
      <c r="I132" s="51"/>
      <c r="J132" s="51"/>
      <c r="K132" s="53">
        <f t="shared" si="8"/>
        <v>6</v>
      </c>
      <c r="L132" s="51"/>
      <c r="M132" s="51"/>
      <c r="N132" s="51"/>
      <c r="O132" s="51"/>
      <c r="P132" s="51"/>
      <c r="Q132" s="51"/>
      <c r="R132" s="51"/>
      <c r="S132" s="51"/>
      <c r="T132" s="51"/>
    </row>
    <row r="133" spans="4:20" x14ac:dyDescent="0.25">
      <c r="D133" s="54"/>
      <c r="E133" s="54"/>
      <c r="F133" s="54"/>
      <c r="G133" s="51"/>
      <c r="H133" s="51"/>
      <c r="I133" s="51"/>
      <c r="J133" s="51"/>
      <c r="K133" s="53">
        <f t="shared" si="8"/>
        <v>6</v>
      </c>
      <c r="L133" s="51"/>
      <c r="M133" s="51"/>
      <c r="N133" s="51"/>
      <c r="O133" s="51"/>
      <c r="P133" s="51"/>
      <c r="Q133" s="51"/>
      <c r="R133" s="51"/>
      <c r="S133" s="51"/>
      <c r="T133" s="51"/>
    </row>
    <row r="134" spans="4:20" x14ac:dyDescent="0.25">
      <c r="D134" s="54"/>
      <c r="E134" s="54"/>
      <c r="F134" s="54"/>
      <c r="G134" s="51"/>
      <c r="H134" s="51"/>
      <c r="I134" s="51"/>
      <c r="J134" s="51"/>
      <c r="K134" s="53">
        <f t="shared" si="8"/>
        <v>6</v>
      </c>
      <c r="L134" s="51"/>
      <c r="M134" s="51"/>
      <c r="N134" s="51"/>
      <c r="O134" s="51"/>
      <c r="P134" s="51"/>
      <c r="Q134" s="51"/>
      <c r="R134" s="51"/>
      <c r="S134" s="51"/>
      <c r="T134" s="51"/>
    </row>
    <row r="135" spans="4:20" x14ac:dyDescent="0.25">
      <c r="D135" s="54"/>
      <c r="E135" s="54"/>
      <c r="F135" s="54"/>
      <c r="G135" s="51"/>
      <c r="H135" s="51"/>
      <c r="I135" s="51"/>
      <c r="J135" s="51"/>
      <c r="K135" s="53">
        <f t="shared" si="8"/>
        <v>6</v>
      </c>
      <c r="L135" s="51"/>
      <c r="M135" s="51"/>
      <c r="N135" s="51"/>
      <c r="O135" s="51"/>
      <c r="P135" s="51"/>
      <c r="Q135" s="51"/>
      <c r="R135" s="51"/>
      <c r="S135" s="51"/>
      <c r="T135" s="51"/>
    </row>
    <row r="136" spans="4:20" x14ac:dyDescent="0.25">
      <c r="D136" s="54"/>
      <c r="E136" s="54"/>
      <c r="F136" s="54"/>
      <c r="G136" s="51"/>
      <c r="H136" s="51"/>
      <c r="I136" s="51"/>
      <c r="J136" s="51"/>
      <c r="K136" s="53">
        <f t="shared" si="8"/>
        <v>6</v>
      </c>
      <c r="L136" s="51"/>
      <c r="M136" s="51"/>
      <c r="N136" s="51"/>
      <c r="O136" s="51"/>
      <c r="P136" s="51"/>
      <c r="Q136" s="51"/>
      <c r="R136" s="51"/>
      <c r="S136" s="51"/>
      <c r="T136" s="51"/>
    </row>
    <row r="137" spans="4:20" x14ac:dyDescent="0.25">
      <c r="D137" s="54"/>
      <c r="E137" s="54"/>
      <c r="F137" s="54"/>
      <c r="G137" s="51"/>
      <c r="H137" s="51"/>
      <c r="I137" s="51"/>
      <c r="J137" s="51"/>
      <c r="K137" s="53">
        <f t="shared" si="8"/>
        <v>6</v>
      </c>
      <c r="L137" s="51"/>
      <c r="M137" s="51"/>
      <c r="N137" s="51"/>
      <c r="O137" s="51"/>
      <c r="P137" s="51"/>
      <c r="Q137" s="51"/>
      <c r="R137" s="51"/>
      <c r="S137" s="51"/>
      <c r="T137" s="51"/>
    </row>
    <row r="138" spans="4:20" x14ac:dyDescent="0.25">
      <c r="D138" s="54"/>
      <c r="E138" s="54"/>
      <c r="F138" s="54"/>
      <c r="G138" s="51"/>
      <c r="H138" s="51"/>
      <c r="I138" s="51"/>
      <c r="J138" s="51"/>
      <c r="K138" s="53">
        <f t="shared" si="8"/>
        <v>6</v>
      </c>
      <c r="L138" s="51"/>
      <c r="M138" s="51"/>
      <c r="N138" s="51"/>
      <c r="O138" s="51"/>
      <c r="P138" s="51"/>
      <c r="Q138" s="51"/>
      <c r="R138" s="51"/>
      <c r="S138" s="51"/>
      <c r="T138" s="51"/>
    </row>
    <row r="139" spans="4:20" x14ac:dyDescent="0.25">
      <c r="D139" s="54"/>
      <c r="E139" s="54"/>
      <c r="F139" s="54"/>
      <c r="G139" s="51"/>
      <c r="H139" s="51"/>
      <c r="I139" s="51"/>
      <c r="J139" s="51"/>
      <c r="K139" s="53">
        <f t="shared" si="8"/>
        <v>6</v>
      </c>
      <c r="L139" s="51"/>
      <c r="M139" s="51"/>
      <c r="N139" s="51"/>
      <c r="O139" s="51"/>
      <c r="P139" s="51"/>
      <c r="Q139" s="51"/>
      <c r="R139" s="51"/>
      <c r="S139" s="51"/>
      <c r="T139" s="51"/>
    </row>
    <row r="140" spans="4:20" x14ac:dyDescent="0.25">
      <c r="D140" s="54"/>
      <c r="E140" s="54"/>
      <c r="F140" s="54"/>
      <c r="G140" s="51"/>
      <c r="H140" s="51"/>
      <c r="I140" s="51"/>
      <c r="J140" s="51"/>
      <c r="K140" s="53">
        <f t="shared" si="8"/>
        <v>6</v>
      </c>
      <c r="L140" s="51"/>
      <c r="M140" s="51"/>
      <c r="N140" s="51"/>
      <c r="O140" s="51"/>
      <c r="P140" s="51"/>
      <c r="Q140" s="51"/>
      <c r="R140" s="51"/>
      <c r="S140" s="51"/>
      <c r="T140" s="51"/>
    </row>
    <row r="141" spans="4:20" x14ac:dyDescent="0.25">
      <c r="D141" s="54"/>
      <c r="E141" s="54"/>
      <c r="F141" s="54"/>
      <c r="G141" s="51"/>
      <c r="H141" s="51"/>
      <c r="I141" s="51"/>
      <c r="J141" s="51"/>
      <c r="K141" s="53">
        <f t="shared" ref="K141:K201" si="9">IF(ISNUMBER(A141)=TRUE,A141,K140)</f>
        <v>6</v>
      </c>
      <c r="L141" s="51"/>
      <c r="M141" s="51"/>
      <c r="N141" s="51"/>
      <c r="O141" s="51"/>
      <c r="P141" s="51"/>
      <c r="Q141" s="51"/>
      <c r="R141" s="51"/>
      <c r="S141" s="51"/>
      <c r="T141" s="51"/>
    </row>
    <row r="142" spans="4:20" x14ac:dyDescent="0.25">
      <c r="D142" s="54"/>
      <c r="E142" s="54"/>
      <c r="F142" s="54"/>
      <c r="G142" s="51"/>
      <c r="H142" s="51"/>
      <c r="I142" s="51"/>
      <c r="J142" s="51"/>
      <c r="K142" s="53">
        <f t="shared" si="9"/>
        <v>6</v>
      </c>
      <c r="L142" s="51"/>
      <c r="M142" s="51"/>
      <c r="N142" s="51"/>
      <c r="O142" s="51"/>
      <c r="P142" s="51"/>
      <c r="Q142" s="51"/>
      <c r="R142" s="51"/>
      <c r="S142" s="51"/>
      <c r="T142" s="51"/>
    </row>
    <row r="143" spans="4:20" x14ac:dyDescent="0.25">
      <c r="D143" s="54"/>
      <c r="E143" s="54"/>
      <c r="F143" s="54"/>
      <c r="G143" s="51"/>
      <c r="H143" s="51"/>
      <c r="I143" s="51"/>
      <c r="J143" s="51"/>
      <c r="K143" s="53">
        <f t="shared" si="9"/>
        <v>6</v>
      </c>
      <c r="L143" s="51"/>
      <c r="M143" s="51"/>
      <c r="N143" s="51"/>
      <c r="O143" s="51"/>
      <c r="P143" s="51"/>
      <c r="Q143" s="51"/>
      <c r="R143" s="51"/>
      <c r="S143" s="51"/>
      <c r="T143" s="51"/>
    </row>
    <row r="144" spans="4:20" x14ac:dyDescent="0.25">
      <c r="D144" s="54"/>
      <c r="E144" s="54"/>
      <c r="F144" s="54"/>
      <c r="G144" s="51"/>
      <c r="H144" s="51"/>
      <c r="I144" s="51"/>
      <c r="J144" s="51"/>
      <c r="K144" s="53">
        <f t="shared" si="9"/>
        <v>6</v>
      </c>
      <c r="L144" s="51"/>
      <c r="M144" s="51"/>
      <c r="N144" s="51"/>
      <c r="O144" s="51"/>
      <c r="P144" s="51"/>
      <c r="Q144" s="51"/>
      <c r="R144" s="51"/>
      <c r="S144" s="51"/>
      <c r="T144" s="51"/>
    </row>
    <row r="145" spans="4:20" x14ac:dyDescent="0.25">
      <c r="D145" s="54"/>
      <c r="E145" s="54"/>
      <c r="F145" s="54"/>
      <c r="G145" s="51"/>
      <c r="H145" s="51"/>
      <c r="I145" s="51"/>
      <c r="J145" s="51"/>
      <c r="K145" s="53">
        <f t="shared" si="9"/>
        <v>6</v>
      </c>
      <c r="L145" s="51"/>
      <c r="M145" s="51"/>
      <c r="N145" s="51"/>
      <c r="O145" s="51"/>
      <c r="P145" s="51"/>
      <c r="Q145" s="51"/>
      <c r="R145" s="51"/>
      <c r="S145" s="51"/>
      <c r="T145" s="51"/>
    </row>
    <row r="146" spans="4:20" x14ac:dyDescent="0.25">
      <c r="D146" s="54"/>
      <c r="E146" s="54"/>
      <c r="F146" s="54"/>
      <c r="G146" s="51"/>
      <c r="H146" s="51"/>
      <c r="I146" s="51"/>
      <c r="J146" s="51"/>
      <c r="K146" s="53">
        <f t="shared" si="9"/>
        <v>6</v>
      </c>
      <c r="L146" s="51"/>
      <c r="M146" s="51"/>
      <c r="N146" s="51"/>
      <c r="O146" s="51"/>
      <c r="P146" s="51"/>
      <c r="Q146" s="51"/>
      <c r="R146" s="51"/>
      <c r="S146" s="51"/>
      <c r="T146" s="51"/>
    </row>
    <row r="147" spans="4:20" x14ac:dyDescent="0.25">
      <c r="K147" s="53">
        <f t="shared" si="9"/>
        <v>6</v>
      </c>
    </row>
    <row r="148" spans="4:20" x14ac:dyDescent="0.25">
      <c r="K148" s="53">
        <f t="shared" si="9"/>
        <v>6</v>
      </c>
    </row>
    <row r="149" spans="4:20" x14ac:dyDescent="0.25">
      <c r="K149" s="53">
        <f t="shared" si="9"/>
        <v>6</v>
      </c>
    </row>
    <row r="150" spans="4:20" x14ac:dyDescent="0.25">
      <c r="K150" s="53">
        <f t="shared" si="9"/>
        <v>6</v>
      </c>
    </row>
    <row r="151" spans="4:20" x14ac:dyDescent="0.25">
      <c r="K151" s="53">
        <f t="shared" si="9"/>
        <v>6</v>
      </c>
    </row>
    <row r="152" spans="4:20" x14ac:dyDescent="0.25">
      <c r="K152" s="53">
        <f t="shared" si="9"/>
        <v>6</v>
      </c>
    </row>
    <row r="153" spans="4:20" x14ac:dyDescent="0.25">
      <c r="K153" s="53">
        <f t="shared" si="9"/>
        <v>6</v>
      </c>
    </row>
    <row r="154" spans="4:20" x14ac:dyDescent="0.25">
      <c r="K154" s="53">
        <f t="shared" si="9"/>
        <v>6</v>
      </c>
    </row>
    <row r="155" spans="4:20" x14ac:dyDescent="0.25">
      <c r="K155" s="53">
        <f t="shared" si="9"/>
        <v>6</v>
      </c>
    </row>
    <row r="156" spans="4:20" x14ac:dyDescent="0.25">
      <c r="K156" s="53">
        <f t="shared" si="9"/>
        <v>6</v>
      </c>
    </row>
    <row r="157" spans="4:20" x14ac:dyDescent="0.25">
      <c r="K157" s="53">
        <f t="shared" si="9"/>
        <v>6</v>
      </c>
    </row>
    <row r="158" spans="4:20" x14ac:dyDescent="0.25">
      <c r="K158" s="53">
        <f t="shared" si="9"/>
        <v>6</v>
      </c>
    </row>
    <row r="159" spans="4:20" x14ac:dyDescent="0.25">
      <c r="K159" s="53">
        <f t="shared" si="9"/>
        <v>6</v>
      </c>
    </row>
    <row r="160" spans="4:20" x14ac:dyDescent="0.25">
      <c r="K160" s="53">
        <f t="shared" si="9"/>
        <v>6</v>
      </c>
    </row>
    <row r="161" spans="11:11" x14ac:dyDescent="0.25">
      <c r="K161" s="53">
        <f t="shared" si="9"/>
        <v>6</v>
      </c>
    </row>
    <row r="162" spans="11:11" x14ac:dyDescent="0.25">
      <c r="K162" s="53">
        <f t="shared" si="9"/>
        <v>6</v>
      </c>
    </row>
    <row r="163" spans="11:11" x14ac:dyDescent="0.25">
      <c r="K163" s="53">
        <f t="shared" si="9"/>
        <v>6</v>
      </c>
    </row>
    <row r="164" spans="11:11" x14ac:dyDescent="0.25">
      <c r="K164" s="53">
        <f t="shared" si="9"/>
        <v>6</v>
      </c>
    </row>
    <row r="165" spans="11:11" x14ac:dyDescent="0.25">
      <c r="K165" s="53">
        <f t="shared" si="9"/>
        <v>6</v>
      </c>
    </row>
    <row r="166" spans="11:11" x14ac:dyDescent="0.25">
      <c r="K166" s="53">
        <f t="shared" si="9"/>
        <v>6</v>
      </c>
    </row>
    <row r="167" spans="11:11" x14ac:dyDescent="0.25">
      <c r="K167" s="53">
        <f t="shared" si="9"/>
        <v>6</v>
      </c>
    </row>
    <row r="168" spans="11:11" x14ac:dyDescent="0.25">
      <c r="K168" s="53">
        <f t="shared" si="9"/>
        <v>6</v>
      </c>
    </row>
    <row r="169" spans="11:11" x14ac:dyDescent="0.25">
      <c r="K169" s="53">
        <f t="shared" si="9"/>
        <v>6</v>
      </c>
    </row>
    <row r="170" spans="11:11" x14ac:dyDescent="0.25">
      <c r="K170" s="53">
        <f t="shared" si="9"/>
        <v>6</v>
      </c>
    </row>
    <row r="171" spans="11:11" x14ac:dyDescent="0.25">
      <c r="K171" s="53">
        <f t="shared" si="9"/>
        <v>6</v>
      </c>
    </row>
    <row r="172" spans="11:11" x14ac:dyDescent="0.25">
      <c r="K172" s="53">
        <f t="shared" si="9"/>
        <v>6</v>
      </c>
    </row>
    <row r="173" spans="11:11" x14ac:dyDescent="0.25">
      <c r="K173" s="53">
        <f t="shared" si="9"/>
        <v>6</v>
      </c>
    </row>
    <row r="174" spans="11:11" x14ac:dyDescent="0.25">
      <c r="K174" s="53">
        <f t="shared" si="9"/>
        <v>6</v>
      </c>
    </row>
    <row r="175" spans="11:11" x14ac:dyDescent="0.25">
      <c r="K175" s="53">
        <f t="shared" si="9"/>
        <v>6</v>
      </c>
    </row>
    <row r="176" spans="11:11" x14ac:dyDescent="0.25">
      <c r="K176" s="53">
        <f t="shared" si="9"/>
        <v>6</v>
      </c>
    </row>
    <row r="177" spans="11:11" x14ac:dyDescent="0.25">
      <c r="K177" s="53">
        <f t="shared" si="9"/>
        <v>6</v>
      </c>
    </row>
    <row r="178" spans="11:11" x14ac:dyDescent="0.25">
      <c r="K178" s="53">
        <f t="shared" si="9"/>
        <v>6</v>
      </c>
    </row>
    <row r="179" spans="11:11" x14ac:dyDescent="0.25">
      <c r="K179" s="53">
        <f t="shared" si="9"/>
        <v>6</v>
      </c>
    </row>
    <row r="180" spans="11:11" x14ac:dyDescent="0.25">
      <c r="K180" s="53">
        <f t="shared" si="9"/>
        <v>6</v>
      </c>
    </row>
    <row r="181" spans="11:11" x14ac:dyDescent="0.25">
      <c r="K181" s="53">
        <f t="shared" si="9"/>
        <v>6</v>
      </c>
    </row>
    <row r="182" spans="11:11" x14ac:dyDescent="0.25">
      <c r="K182" s="53">
        <f t="shared" si="9"/>
        <v>6</v>
      </c>
    </row>
    <row r="183" spans="11:11" x14ac:dyDescent="0.25">
      <c r="K183" s="53">
        <f t="shared" si="9"/>
        <v>6</v>
      </c>
    </row>
    <row r="184" spans="11:11" x14ac:dyDescent="0.25">
      <c r="K184" s="53">
        <f t="shared" si="9"/>
        <v>6</v>
      </c>
    </row>
    <row r="185" spans="11:11" x14ac:dyDescent="0.25">
      <c r="K185" s="53">
        <f t="shared" si="9"/>
        <v>6</v>
      </c>
    </row>
    <row r="186" spans="11:11" x14ac:dyDescent="0.25">
      <c r="K186" s="53">
        <f t="shared" si="9"/>
        <v>6</v>
      </c>
    </row>
    <row r="187" spans="11:11" x14ac:dyDescent="0.25">
      <c r="K187" s="53">
        <f t="shared" si="9"/>
        <v>6</v>
      </c>
    </row>
    <row r="188" spans="11:11" x14ac:dyDescent="0.25">
      <c r="K188" s="53">
        <f t="shared" si="9"/>
        <v>6</v>
      </c>
    </row>
    <row r="189" spans="11:11" x14ac:dyDescent="0.25">
      <c r="K189" s="53">
        <f t="shared" si="9"/>
        <v>6</v>
      </c>
    </row>
    <row r="190" spans="11:11" x14ac:dyDescent="0.25">
      <c r="K190" s="53">
        <f t="shared" si="9"/>
        <v>6</v>
      </c>
    </row>
    <row r="191" spans="11:11" x14ac:dyDescent="0.25">
      <c r="K191" s="53">
        <f t="shared" si="9"/>
        <v>6</v>
      </c>
    </row>
    <row r="192" spans="11:11" x14ac:dyDescent="0.25">
      <c r="K192" s="53">
        <f t="shared" si="9"/>
        <v>6</v>
      </c>
    </row>
    <row r="193" spans="11:11" x14ac:dyDescent="0.25">
      <c r="K193" s="53">
        <f t="shared" si="9"/>
        <v>6</v>
      </c>
    </row>
    <row r="194" spans="11:11" x14ac:dyDescent="0.25">
      <c r="K194" s="53">
        <f t="shared" si="9"/>
        <v>6</v>
      </c>
    </row>
    <row r="195" spans="11:11" x14ac:dyDescent="0.25">
      <c r="K195" s="53">
        <f t="shared" si="9"/>
        <v>6</v>
      </c>
    </row>
    <row r="196" spans="11:11" x14ac:dyDescent="0.25">
      <c r="K196" s="53">
        <f t="shared" si="9"/>
        <v>6</v>
      </c>
    </row>
    <row r="197" spans="11:11" x14ac:dyDescent="0.25">
      <c r="K197" s="53">
        <f t="shared" si="9"/>
        <v>6</v>
      </c>
    </row>
    <row r="198" spans="11:11" x14ac:dyDescent="0.25">
      <c r="K198" s="53">
        <f t="shared" si="9"/>
        <v>6</v>
      </c>
    </row>
    <row r="199" spans="11:11" x14ac:dyDescent="0.25">
      <c r="K199" s="53">
        <f t="shared" si="9"/>
        <v>6</v>
      </c>
    </row>
    <row r="200" spans="11:11" x14ac:dyDescent="0.25">
      <c r="K200" s="53">
        <f t="shared" si="9"/>
        <v>6</v>
      </c>
    </row>
    <row r="201" spans="11:11" x14ac:dyDescent="0.25">
      <c r="K201" s="53">
        <f t="shared" si="9"/>
        <v>6</v>
      </c>
    </row>
  </sheetData>
  <mergeCells count="12">
    <mergeCell ref="A55:A72"/>
    <mergeCell ref="B55:B72"/>
    <mergeCell ref="C55:C72"/>
    <mergeCell ref="N1:O1"/>
    <mergeCell ref="A27:A36"/>
    <mergeCell ref="A12:A26"/>
    <mergeCell ref="B12:B26"/>
    <mergeCell ref="C12:C26"/>
    <mergeCell ref="B27:B36"/>
    <mergeCell ref="A2:A11"/>
    <mergeCell ref="B2:B11"/>
    <mergeCell ref="C2:C1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0F4B-D596-4598-80B2-11A2C66003CA}">
  <dimension ref="A1:K148"/>
  <sheetViews>
    <sheetView topLeftCell="A119" zoomScale="69" zoomScaleNormal="69" workbookViewId="0">
      <selection activeCell="A128" sqref="A128"/>
    </sheetView>
  </sheetViews>
  <sheetFormatPr defaultRowHeight="15" x14ac:dyDescent="0.25"/>
  <cols>
    <col min="1" max="1" width="120.7109375" style="132" bestFit="1" customWidth="1"/>
    <col min="2" max="2" width="122.42578125" style="132" bestFit="1" customWidth="1"/>
    <col min="3" max="3" width="26.140625" style="132" bestFit="1" customWidth="1"/>
    <col min="4" max="4" width="26.5703125" style="132" bestFit="1" customWidth="1"/>
    <col min="5" max="5" width="15" style="132" bestFit="1" customWidth="1"/>
    <col min="6" max="6" width="21" style="132" bestFit="1" customWidth="1"/>
    <col min="7" max="7" width="5.42578125" style="145" customWidth="1"/>
    <col min="8" max="8" width="4.42578125" style="132" bestFit="1" customWidth="1"/>
    <col min="9" max="9" width="24.140625" style="132" bestFit="1" customWidth="1"/>
    <col min="10" max="10" width="20" style="132" bestFit="1" customWidth="1"/>
    <col min="11" max="11" width="9.140625" style="133"/>
  </cols>
  <sheetData>
    <row r="1" spans="1:10" ht="30.75" thickBot="1" x14ac:dyDescent="0.45">
      <c r="A1" s="224" t="s">
        <v>118</v>
      </c>
      <c r="B1" s="225" t="s">
        <v>119</v>
      </c>
      <c r="C1" s="226" t="s">
        <v>456</v>
      </c>
      <c r="D1" s="227" t="s">
        <v>457</v>
      </c>
      <c r="E1" s="228" t="s">
        <v>458</v>
      </c>
      <c r="F1" s="229" t="s">
        <v>1</v>
      </c>
      <c r="G1" s="230" t="s">
        <v>459</v>
      </c>
      <c r="H1" s="231" t="s">
        <v>460</v>
      </c>
      <c r="I1" s="232" t="s">
        <v>461</v>
      </c>
      <c r="J1" s="233" t="s">
        <v>462</v>
      </c>
    </row>
    <row r="2" spans="1:10" ht="20.25" x14ac:dyDescent="0.3">
      <c r="A2" s="239" t="s">
        <v>99</v>
      </c>
      <c r="B2" s="240" t="s">
        <v>2</v>
      </c>
      <c r="C2" s="158" t="s">
        <v>463</v>
      </c>
      <c r="D2" s="159"/>
      <c r="E2" s="160"/>
      <c r="F2" s="161"/>
      <c r="G2" s="162">
        <v>1</v>
      </c>
      <c r="H2" s="163">
        <v>1</v>
      </c>
      <c r="I2" s="164" t="str">
        <f>"Nga_Fr_Lessons"&amp;"-"&amp;TEXT(G2,"000")&amp;"-"&amp;TEXT(H2,"000")</f>
        <v>Nga_Fr_Lessons-001-001</v>
      </c>
      <c r="J2" s="165" t="str">
        <f>"Nga::Fr::Lessons"&amp;"::"&amp;TEXT(G2,"000")</f>
        <v>Nga::Fr::Lessons::001</v>
      </c>
    </row>
    <row r="3" spans="1:10" ht="20.25" x14ac:dyDescent="0.3">
      <c r="A3" s="235" t="s">
        <v>100</v>
      </c>
      <c r="B3" s="236" t="s">
        <v>90</v>
      </c>
      <c r="C3" s="166" t="s">
        <v>466</v>
      </c>
      <c r="D3" s="167"/>
      <c r="E3" s="168"/>
      <c r="F3" s="169"/>
      <c r="G3" s="170">
        <v>1</v>
      </c>
      <c r="H3" s="171">
        <v>2</v>
      </c>
      <c r="I3" s="172" t="str">
        <f t="shared" ref="I3:I66" si="0">"Nga_Fr_Lessons"&amp;"-"&amp;TEXT(G3,"000")&amp;"-"&amp;TEXT(H3,"000")</f>
        <v>Nga_Fr_Lessons-001-002</v>
      </c>
      <c r="J3" s="173" t="str">
        <f t="shared" ref="J3:J66" si="1">"Nga::Fr::Lessons"&amp;"::"&amp;TEXT(G3,"000")</f>
        <v>Nga::Fr::Lessons::001</v>
      </c>
    </row>
    <row r="4" spans="1:10" ht="20.25" x14ac:dyDescent="0.3">
      <c r="A4" s="235" t="s">
        <v>101</v>
      </c>
      <c r="B4" s="236" t="s">
        <v>467</v>
      </c>
      <c r="C4" s="166" t="s">
        <v>468</v>
      </c>
      <c r="D4" s="167"/>
      <c r="E4" s="168"/>
      <c r="F4" s="174" t="s">
        <v>469</v>
      </c>
      <c r="G4" s="170">
        <v>1</v>
      </c>
      <c r="H4" s="171">
        <v>3</v>
      </c>
      <c r="I4" s="172" t="str">
        <f t="shared" si="0"/>
        <v>Nga_Fr_Lessons-001-003</v>
      </c>
      <c r="J4" s="173" t="str">
        <f t="shared" si="1"/>
        <v>Nga::Fr::Lessons::001</v>
      </c>
    </row>
    <row r="5" spans="1:10" ht="20.25" x14ac:dyDescent="0.3">
      <c r="A5" s="235" t="s">
        <v>102</v>
      </c>
      <c r="B5" s="236" t="s">
        <v>467</v>
      </c>
      <c r="C5" s="166" t="s">
        <v>470</v>
      </c>
      <c r="D5" s="167"/>
      <c r="E5" s="168"/>
      <c r="F5" s="174" t="s">
        <v>471</v>
      </c>
      <c r="G5" s="170">
        <v>1</v>
      </c>
      <c r="H5" s="171">
        <v>4</v>
      </c>
      <c r="I5" s="172" t="str">
        <f t="shared" si="0"/>
        <v>Nga_Fr_Lessons-001-004</v>
      </c>
      <c r="J5" s="173" t="str">
        <f t="shared" si="1"/>
        <v>Nga::Fr::Lessons::001</v>
      </c>
    </row>
    <row r="6" spans="1:10" ht="20.25" x14ac:dyDescent="0.3">
      <c r="A6" s="235" t="s">
        <v>103</v>
      </c>
      <c r="B6" s="236" t="s">
        <v>93</v>
      </c>
      <c r="C6" s="166" t="s">
        <v>472</v>
      </c>
      <c r="D6" s="167"/>
      <c r="E6" s="168"/>
      <c r="F6" s="169"/>
      <c r="G6" s="170">
        <v>1</v>
      </c>
      <c r="H6" s="171">
        <v>5</v>
      </c>
      <c r="I6" s="172" t="str">
        <f t="shared" si="0"/>
        <v>Nga_Fr_Lessons-001-005</v>
      </c>
      <c r="J6" s="173" t="str">
        <f t="shared" si="1"/>
        <v>Nga::Fr::Lessons::001</v>
      </c>
    </row>
    <row r="7" spans="1:10" ht="20.25" x14ac:dyDescent="0.3">
      <c r="A7" s="235" t="s">
        <v>104</v>
      </c>
      <c r="B7" s="236" t="s">
        <v>94</v>
      </c>
      <c r="C7" s="166" t="s">
        <v>473</v>
      </c>
      <c r="D7" s="167"/>
      <c r="E7" s="168"/>
      <c r="F7" s="169"/>
      <c r="G7" s="170">
        <v>1</v>
      </c>
      <c r="H7" s="171">
        <v>6</v>
      </c>
      <c r="I7" s="172" t="str">
        <f t="shared" si="0"/>
        <v>Nga_Fr_Lessons-001-006</v>
      </c>
      <c r="J7" s="173" t="str">
        <f t="shared" si="1"/>
        <v>Nga::Fr::Lessons::001</v>
      </c>
    </row>
    <row r="8" spans="1:10" ht="20.25" x14ac:dyDescent="0.3">
      <c r="A8" s="235" t="s">
        <v>105</v>
      </c>
      <c r="B8" s="236" t="s">
        <v>95</v>
      </c>
      <c r="C8" s="166" t="s">
        <v>474</v>
      </c>
      <c r="D8" s="167"/>
      <c r="E8" s="168"/>
      <c r="F8" s="169"/>
      <c r="G8" s="170">
        <v>1</v>
      </c>
      <c r="H8" s="171">
        <v>7</v>
      </c>
      <c r="I8" s="172" t="str">
        <f t="shared" si="0"/>
        <v>Nga_Fr_Lessons-001-007</v>
      </c>
      <c r="J8" s="173" t="str">
        <f t="shared" si="1"/>
        <v>Nga::Fr::Lessons::001</v>
      </c>
    </row>
    <row r="9" spans="1:10" ht="20.25" x14ac:dyDescent="0.3">
      <c r="A9" s="235" t="s">
        <v>106</v>
      </c>
      <c r="B9" s="236" t="s">
        <v>96</v>
      </c>
      <c r="C9" s="166" t="s">
        <v>475</v>
      </c>
      <c r="D9" s="167"/>
      <c r="E9" s="168"/>
      <c r="F9" s="169"/>
      <c r="G9" s="170">
        <v>1</v>
      </c>
      <c r="H9" s="171">
        <v>8</v>
      </c>
      <c r="I9" s="172" t="str">
        <f t="shared" si="0"/>
        <v>Nga_Fr_Lessons-001-008</v>
      </c>
      <c r="J9" s="173" t="str">
        <f t="shared" si="1"/>
        <v>Nga::Fr::Lessons::001</v>
      </c>
    </row>
    <row r="10" spans="1:10" ht="20.25" x14ac:dyDescent="0.3">
      <c r="A10" s="235" t="s">
        <v>107</v>
      </c>
      <c r="B10" s="236" t="s">
        <v>97</v>
      </c>
      <c r="C10" s="166" t="s">
        <v>476</v>
      </c>
      <c r="D10" s="167"/>
      <c r="E10" s="168"/>
      <c r="F10" s="169"/>
      <c r="G10" s="170">
        <v>1</v>
      </c>
      <c r="H10" s="171">
        <v>9</v>
      </c>
      <c r="I10" s="172" t="str">
        <f t="shared" si="0"/>
        <v>Nga_Fr_Lessons-001-009</v>
      </c>
      <c r="J10" s="173" t="str">
        <f t="shared" si="1"/>
        <v>Nga::Fr::Lessons::001</v>
      </c>
    </row>
    <row r="11" spans="1:10" ht="20.25" x14ac:dyDescent="0.3">
      <c r="A11" s="235" t="s">
        <v>108</v>
      </c>
      <c r="B11" s="236" t="s">
        <v>98</v>
      </c>
      <c r="C11" s="166" t="s">
        <v>477</v>
      </c>
      <c r="D11" s="167"/>
      <c r="E11" s="168"/>
      <c r="F11" s="169"/>
      <c r="G11" s="170">
        <v>1</v>
      </c>
      <c r="H11" s="171">
        <v>10</v>
      </c>
      <c r="I11" s="172" t="str">
        <f t="shared" si="0"/>
        <v>Nga_Fr_Lessons-001-010</v>
      </c>
      <c r="J11" s="173" t="str">
        <f t="shared" si="1"/>
        <v>Nga::Fr::Lessons::001</v>
      </c>
    </row>
    <row r="12" spans="1:10" ht="20.25" x14ac:dyDescent="0.3">
      <c r="A12" s="241" t="s">
        <v>160</v>
      </c>
      <c r="B12" s="242" t="s">
        <v>139</v>
      </c>
      <c r="C12" s="204" t="s">
        <v>478</v>
      </c>
      <c r="D12" s="205"/>
      <c r="E12" s="206"/>
      <c r="F12" s="207"/>
      <c r="G12" s="208">
        <v>2</v>
      </c>
      <c r="H12" s="209">
        <v>1</v>
      </c>
      <c r="I12" s="210" t="str">
        <f t="shared" si="0"/>
        <v>Nga_Fr_Lessons-002-001</v>
      </c>
      <c r="J12" s="234" t="str">
        <f t="shared" si="1"/>
        <v>Nga::Fr::Lessons::002</v>
      </c>
    </row>
    <row r="13" spans="1:10" ht="20.25" x14ac:dyDescent="0.3">
      <c r="A13" s="235" t="s">
        <v>161</v>
      </c>
      <c r="B13" s="236" t="s">
        <v>479</v>
      </c>
      <c r="C13" s="166" t="s">
        <v>480</v>
      </c>
      <c r="D13" s="167"/>
      <c r="E13" s="168"/>
      <c r="F13" s="169"/>
      <c r="G13" s="170">
        <v>2</v>
      </c>
      <c r="H13" s="171">
        <v>2</v>
      </c>
      <c r="I13" s="172" t="str">
        <f t="shared" si="0"/>
        <v>Nga_Fr_Lessons-002-002</v>
      </c>
      <c r="J13" s="173" t="str">
        <f t="shared" si="1"/>
        <v>Nga::Fr::Lessons::002</v>
      </c>
    </row>
    <row r="14" spans="1:10" ht="20.25" x14ac:dyDescent="0.3">
      <c r="A14" s="235" t="s">
        <v>162</v>
      </c>
      <c r="B14" s="236" t="s">
        <v>140</v>
      </c>
      <c r="C14" s="166" t="s">
        <v>481</v>
      </c>
      <c r="D14" s="167"/>
      <c r="E14" s="168"/>
      <c r="F14" s="169"/>
      <c r="G14" s="170">
        <v>2</v>
      </c>
      <c r="H14" s="171">
        <v>3</v>
      </c>
      <c r="I14" s="172" t="str">
        <f t="shared" si="0"/>
        <v>Nga_Fr_Lessons-002-003</v>
      </c>
      <c r="J14" s="173" t="str">
        <f t="shared" si="1"/>
        <v>Nga::Fr::Lessons::002</v>
      </c>
    </row>
    <row r="15" spans="1:10" ht="20.25" x14ac:dyDescent="0.3">
      <c r="A15" s="235" t="s">
        <v>163</v>
      </c>
      <c r="B15" s="236" t="s">
        <v>141</v>
      </c>
      <c r="C15" s="166" t="s">
        <v>482</v>
      </c>
      <c r="D15" s="167"/>
      <c r="E15" s="168"/>
      <c r="F15" s="169"/>
      <c r="G15" s="170">
        <v>2</v>
      </c>
      <c r="H15" s="171">
        <v>4</v>
      </c>
      <c r="I15" s="172" t="str">
        <f t="shared" si="0"/>
        <v>Nga_Fr_Lessons-002-004</v>
      </c>
      <c r="J15" s="173" t="str">
        <f t="shared" si="1"/>
        <v>Nga::Fr::Lessons::002</v>
      </c>
    </row>
    <row r="16" spans="1:10" ht="20.25" x14ac:dyDescent="0.3">
      <c r="A16" s="235" t="s">
        <v>150</v>
      </c>
      <c r="B16" s="236" t="s">
        <v>142</v>
      </c>
      <c r="C16" s="166" t="s">
        <v>483</v>
      </c>
      <c r="D16" s="167"/>
      <c r="E16" s="168"/>
      <c r="F16" s="169"/>
      <c r="G16" s="170">
        <v>2</v>
      </c>
      <c r="H16" s="171">
        <v>5</v>
      </c>
      <c r="I16" s="172" t="str">
        <f t="shared" si="0"/>
        <v>Nga_Fr_Lessons-002-005</v>
      </c>
      <c r="J16" s="173" t="str">
        <f t="shared" si="1"/>
        <v>Nga::Fr::Lessons::002</v>
      </c>
    </row>
    <row r="17" spans="1:10" ht="20.25" x14ac:dyDescent="0.3">
      <c r="A17" s="235" t="s">
        <v>484</v>
      </c>
      <c r="B17" s="236" t="s">
        <v>485</v>
      </c>
      <c r="C17" s="166" t="s">
        <v>486</v>
      </c>
      <c r="D17" s="167"/>
      <c r="E17" s="168"/>
      <c r="F17" s="169"/>
      <c r="G17" s="170">
        <v>2</v>
      </c>
      <c r="H17" s="171">
        <v>6</v>
      </c>
      <c r="I17" s="172" t="str">
        <f t="shared" si="0"/>
        <v>Nga_Fr_Lessons-002-006</v>
      </c>
      <c r="J17" s="173" t="str">
        <f t="shared" si="1"/>
        <v>Nga::Fr::Lessons::002</v>
      </c>
    </row>
    <row r="18" spans="1:10" ht="20.25" x14ac:dyDescent="0.3">
      <c r="A18" s="235" t="s">
        <v>152</v>
      </c>
      <c r="B18" s="236" t="s">
        <v>143</v>
      </c>
      <c r="C18" s="166" t="s">
        <v>487</v>
      </c>
      <c r="D18" s="167"/>
      <c r="E18" s="168"/>
      <c r="F18" s="169"/>
      <c r="G18" s="170">
        <v>2</v>
      </c>
      <c r="H18" s="171">
        <v>7</v>
      </c>
      <c r="I18" s="172" t="str">
        <f t="shared" si="0"/>
        <v>Nga_Fr_Lessons-002-007</v>
      </c>
      <c r="J18" s="173" t="str">
        <f t="shared" si="1"/>
        <v>Nga::Fr::Lessons::002</v>
      </c>
    </row>
    <row r="19" spans="1:10" ht="20.25" x14ac:dyDescent="0.3">
      <c r="A19" s="235" t="s">
        <v>57</v>
      </c>
      <c r="B19" s="236" t="s">
        <v>57</v>
      </c>
      <c r="C19" s="166" t="s">
        <v>488</v>
      </c>
      <c r="D19" s="167"/>
      <c r="E19" s="168"/>
      <c r="F19" s="169"/>
      <c r="G19" s="170">
        <v>2</v>
      </c>
      <c r="H19" s="171">
        <v>8</v>
      </c>
      <c r="I19" s="172" t="str">
        <f t="shared" si="0"/>
        <v>Nga_Fr_Lessons-002-008</v>
      </c>
      <c r="J19" s="173" t="str">
        <f t="shared" si="1"/>
        <v>Nga::Fr::Lessons::002</v>
      </c>
    </row>
    <row r="20" spans="1:10" ht="20.25" x14ac:dyDescent="0.3">
      <c r="A20" s="235" t="s">
        <v>153</v>
      </c>
      <c r="B20" s="236" t="s">
        <v>144</v>
      </c>
      <c r="C20" s="166" t="s">
        <v>489</v>
      </c>
      <c r="D20" s="167"/>
      <c r="E20" s="168"/>
      <c r="F20" s="169"/>
      <c r="G20" s="170">
        <v>2</v>
      </c>
      <c r="H20" s="171">
        <v>9</v>
      </c>
      <c r="I20" s="172" t="str">
        <f t="shared" si="0"/>
        <v>Nga_Fr_Lessons-002-009</v>
      </c>
      <c r="J20" s="173" t="str">
        <f t="shared" si="1"/>
        <v>Nga::Fr::Lessons::002</v>
      </c>
    </row>
    <row r="21" spans="1:10" ht="20.25" x14ac:dyDescent="0.3">
      <c r="A21" s="235" t="s">
        <v>154</v>
      </c>
      <c r="B21" s="236" t="s">
        <v>145</v>
      </c>
      <c r="C21" s="166" t="s">
        <v>490</v>
      </c>
      <c r="D21" s="167"/>
      <c r="E21" s="168"/>
      <c r="F21" s="169"/>
      <c r="G21" s="170">
        <v>2</v>
      </c>
      <c r="H21" s="171">
        <v>10</v>
      </c>
      <c r="I21" s="172" t="str">
        <f t="shared" si="0"/>
        <v>Nga_Fr_Lessons-002-010</v>
      </c>
      <c r="J21" s="173" t="str">
        <f t="shared" si="1"/>
        <v>Nga::Fr::Lessons::002</v>
      </c>
    </row>
    <row r="22" spans="1:10" ht="20.25" x14ac:dyDescent="0.3">
      <c r="A22" s="235" t="s">
        <v>146</v>
      </c>
      <c r="B22" s="236" t="s">
        <v>146</v>
      </c>
      <c r="C22" s="166" t="s">
        <v>491</v>
      </c>
      <c r="D22" s="167"/>
      <c r="E22" s="168"/>
      <c r="F22" s="169"/>
      <c r="G22" s="170">
        <v>2</v>
      </c>
      <c r="H22" s="171">
        <v>11</v>
      </c>
      <c r="I22" s="172" t="str">
        <f t="shared" si="0"/>
        <v>Nga_Fr_Lessons-002-011</v>
      </c>
      <c r="J22" s="173" t="str">
        <f t="shared" si="1"/>
        <v>Nga::Fr::Lessons::002</v>
      </c>
    </row>
    <row r="23" spans="1:10" ht="20.25" x14ac:dyDescent="0.3">
      <c r="A23" s="235" t="s">
        <v>155</v>
      </c>
      <c r="B23" s="236" t="s">
        <v>147</v>
      </c>
      <c r="C23" s="166" t="s">
        <v>492</v>
      </c>
      <c r="D23" s="167"/>
      <c r="E23" s="168"/>
      <c r="F23" s="169"/>
      <c r="G23" s="170">
        <v>2</v>
      </c>
      <c r="H23" s="171">
        <v>12</v>
      </c>
      <c r="I23" s="172" t="str">
        <f t="shared" si="0"/>
        <v>Nga_Fr_Lessons-002-012</v>
      </c>
      <c r="J23" s="173" t="str">
        <f t="shared" si="1"/>
        <v>Nga::Fr::Lessons::002</v>
      </c>
    </row>
    <row r="24" spans="1:10" ht="20.25" x14ac:dyDescent="0.3">
      <c r="A24" s="235" t="s">
        <v>149</v>
      </c>
      <c r="B24" s="236" t="s">
        <v>148</v>
      </c>
      <c r="C24" s="166" t="s">
        <v>493</v>
      </c>
      <c r="D24" s="167"/>
      <c r="E24" s="168"/>
      <c r="F24" s="169"/>
      <c r="G24" s="170">
        <v>2</v>
      </c>
      <c r="H24" s="171">
        <v>13</v>
      </c>
      <c r="I24" s="172" t="str">
        <f t="shared" si="0"/>
        <v>Nga_Fr_Lessons-002-013</v>
      </c>
      <c r="J24" s="173" t="str">
        <f t="shared" si="1"/>
        <v>Nga::Fr::Lessons::002</v>
      </c>
    </row>
    <row r="25" spans="1:10" ht="20.25" x14ac:dyDescent="0.3">
      <c r="A25" s="235" t="s">
        <v>156</v>
      </c>
      <c r="B25" s="236" t="s">
        <v>159</v>
      </c>
      <c r="C25" s="166" t="s">
        <v>494</v>
      </c>
      <c r="D25" s="167"/>
      <c r="E25" s="168"/>
      <c r="F25" s="169"/>
      <c r="G25" s="170">
        <v>2</v>
      </c>
      <c r="H25" s="171">
        <v>14</v>
      </c>
      <c r="I25" s="172" t="str">
        <f t="shared" si="0"/>
        <v>Nga_Fr_Lessons-002-014</v>
      </c>
      <c r="J25" s="173" t="str">
        <f t="shared" si="1"/>
        <v>Nga::Fr::Lessons::002</v>
      </c>
    </row>
    <row r="26" spans="1:10" ht="21" thickBot="1" x14ac:dyDescent="0.35">
      <c r="A26" s="235" t="s">
        <v>157</v>
      </c>
      <c r="B26" s="236" t="s">
        <v>158</v>
      </c>
      <c r="C26" s="166" t="s">
        <v>495</v>
      </c>
      <c r="D26" s="167"/>
      <c r="E26" s="168"/>
      <c r="F26" s="169"/>
      <c r="G26" s="170">
        <v>2</v>
      </c>
      <c r="H26" s="171">
        <v>15</v>
      </c>
      <c r="I26" s="172" t="str">
        <f t="shared" si="0"/>
        <v>Nga_Fr_Lessons-002-015</v>
      </c>
      <c r="J26" s="173" t="str">
        <f t="shared" si="1"/>
        <v>Nga::Fr::Lessons::002</v>
      </c>
    </row>
    <row r="27" spans="1:10" ht="20.25" x14ac:dyDescent="0.3">
      <c r="A27" s="239" t="s">
        <v>276</v>
      </c>
      <c r="B27" s="240" t="s">
        <v>496</v>
      </c>
      <c r="C27" s="214" t="s">
        <v>497</v>
      </c>
      <c r="D27" s="190"/>
      <c r="E27" s="175"/>
      <c r="F27" s="215"/>
      <c r="G27" s="162">
        <v>3</v>
      </c>
      <c r="H27" s="162">
        <v>1</v>
      </c>
      <c r="I27" s="164" t="str">
        <f t="shared" si="0"/>
        <v>Nga_Fr_Lessons-003-001</v>
      </c>
      <c r="J27" s="216" t="str">
        <f t="shared" si="1"/>
        <v>Nga::Fr::Lessons::003</v>
      </c>
    </row>
    <row r="28" spans="1:10" ht="20.25" x14ac:dyDescent="0.3">
      <c r="A28" s="235" t="s">
        <v>179</v>
      </c>
      <c r="B28" s="236" t="s">
        <v>498</v>
      </c>
      <c r="C28" s="192" t="s">
        <v>499</v>
      </c>
      <c r="D28" s="211"/>
      <c r="E28" s="179"/>
      <c r="F28" s="212"/>
      <c r="G28" s="170">
        <v>3</v>
      </c>
      <c r="H28" s="170">
        <v>2</v>
      </c>
      <c r="I28" s="172" t="str">
        <f t="shared" si="0"/>
        <v>Nga_Fr_Lessons-003-002</v>
      </c>
      <c r="J28" s="217" t="str">
        <f t="shared" si="1"/>
        <v>Nga::Fr::Lessons::003</v>
      </c>
    </row>
    <row r="29" spans="1:10" ht="20.25" x14ac:dyDescent="0.3">
      <c r="A29" s="235" t="s">
        <v>277</v>
      </c>
      <c r="B29" s="236" t="s">
        <v>500</v>
      </c>
      <c r="C29" s="192" t="s">
        <v>501</v>
      </c>
      <c r="D29" s="211"/>
      <c r="E29" s="179"/>
      <c r="F29" s="213" t="s">
        <v>502</v>
      </c>
      <c r="G29" s="170">
        <v>3</v>
      </c>
      <c r="H29" s="170">
        <v>3</v>
      </c>
      <c r="I29" s="172" t="str">
        <f t="shared" si="0"/>
        <v>Nga_Fr_Lessons-003-003</v>
      </c>
      <c r="J29" s="217" t="str">
        <f t="shared" si="1"/>
        <v>Nga::Fr::Lessons::003</v>
      </c>
    </row>
    <row r="30" spans="1:10" ht="20.25" x14ac:dyDescent="0.3">
      <c r="A30" s="235" t="s">
        <v>191</v>
      </c>
      <c r="B30" s="236" t="s">
        <v>503</v>
      </c>
      <c r="C30" s="192" t="s">
        <v>504</v>
      </c>
      <c r="D30" s="211"/>
      <c r="E30" s="179"/>
      <c r="F30" s="213" t="s">
        <v>502</v>
      </c>
      <c r="G30" s="170">
        <v>3</v>
      </c>
      <c r="H30" s="170">
        <v>4</v>
      </c>
      <c r="I30" s="172" t="str">
        <f t="shared" si="0"/>
        <v>Nga_Fr_Lessons-003-004</v>
      </c>
      <c r="J30" s="217" t="str">
        <f t="shared" si="1"/>
        <v>Nga::Fr::Lessons::003</v>
      </c>
    </row>
    <row r="31" spans="1:10" ht="20.25" x14ac:dyDescent="0.3">
      <c r="A31" s="235" t="s">
        <v>183</v>
      </c>
      <c r="B31" s="236" t="s">
        <v>505</v>
      </c>
      <c r="C31" s="192" t="s">
        <v>506</v>
      </c>
      <c r="D31" s="211"/>
      <c r="E31" s="179"/>
      <c r="F31" s="212"/>
      <c r="G31" s="170">
        <v>3</v>
      </c>
      <c r="H31" s="170">
        <v>5</v>
      </c>
      <c r="I31" s="172" t="str">
        <f t="shared" si="0"/>
        <v>Nga_Fr_Lessons-003-005</v>
      </c>
      <c r="J31" s="217" t="str">
        <f t="shared" si="1"/>
        <v>Nga::Fr::Lessons::003</v>
      </c>
    </row>
    <row r="32" spans="1:10" ht="20.25" x14ac:dyDescent="0.3">
      <c r="A32" s="235" t="s">
        <v>507</v>
      </c>
      <c r="B32" s="236" t="s">
        <v>184</v>
      </c>
      <c r="C32" s="192" t="s">
        <v>508</v>
      </c>
      <c r="D32" s="211"/>
      <c r="E32" s="179"/>
      <c r="F32" s="212"/>
      <c r="G32" s="170">
        <v>3</v>
      </c>
      <c r="H32" s="170">
        <v>6</v>
      </c>
      <c r="I32" s="172" t="str">
        <f t="shared" si="0"/>
        <v>Nga_Fr_Lessons-003-006</v>
      </c>
      <c r="J32" s="217" t="str">
        <f t="shared" si="1"/>
        <v>Nga::Fr::Lessons::003</v>
      </c>
    </row>
    <row r="33" spans="1:10" ht="20.25" x14ac:dyDescent="0.3">
      <c r="A33" s="235" t="s">
        <v>185</v>
      </c>
      <c r="B33" s="236" t="s">
        <v>509</v>
      </c>
      <c r="C33" s="192" t="s">
        <v>510</v>
      </c>
      <c r="D33" s="211"/>
      <c r="E33" s="179"/>
      <c r="F33" s="212"/>
      <c r="G33" s="170">
        <v>3</v>
      </c>
      <c r="H33" s="170">
        <v>7</v>
      </c>
      <c r="I33" s="172" t="str">
        <f t="shared" si="0"/>
        <v>Nga_Fr_Lessons-003-007</v>
      </c>
      <c r="J33" s="217" t="str">
        <f t="shared" si="1"/>
        <v>Nga::Fr::Lessons::003</v>
      </c>
    </row>
    <row r="34" spans="1:10" ht="20.25" x14ac:dyDescent="0.3">
      <c r="A34" s="235" t="s">
        <v>174</v>
      </c>
      <c r="B34" s="236" t="s">
        <v>174</v>
      </c>
      <c r="C34" s="192" t="s">
        <v>511</v>
      </c>
      <c r="D34" s="211"/>
      <c r="E34" s="179"/>
      <c r="F34" s="212"/>
      <c r="G34" s="170">
        <v>3</v>
      </c>
      <c r="H34" s="170">
        <v>8</v>
      </c>
      <c r="I34" s="172" t="str">
        <f t="shared" si="0"/>
        <v>Nga_Fr_Lessons-003-008</v>
      </c>
      <c r="J34" s="217" t="str">
        <f t="shared" si="1"/>
        <v>Nga::Fr::Lessons::003</v>
      </c>
    </row>
    <row r="35" spans="1:10" ht="20.25" x14ac:dyDescent="0.3">
      <c r="A35" s="235" t="s">
        <v>175</v>
      </c>
      <c r="B35" s="236" t="s">
        <v>512</v>
      </c>
      <c r="C35" s="192" t="s">
        <v>513</v>
      </c>
      <c r="D35" s="211"/>
      <c r="E35" s="179"/>
      <c r="F35" s="212"/>
      <c r="G35" s="170">
        <v>3</v>
      </c>
      <c r="H35" s="170">
        <v>9</v>
      </c>
      <c r="I35" s="172" t="str">
        <f t="shared" si="0"/>
        <v>Nga_Fr_Lessons-003-009</v>
      </c>
      <c r="J35" s="217" t="str">
        <f t="shared" si="1"/>
        <v>Nga::Fr::Lessons::003</v>
      </c>
    </row>
    <row r="36" spans="1:10" ht="20.25" x14ac:dyDescent="0.3">
      <c r="A36" s="235" t="s">
        <v>181</v>
      </c>
      <c r="B36" s="236" t="s">
        <v>514</v>
      </c>
      <c r="C36" s="192" t="s">
        <v>515</v>
      </c>
      <c r="D36" s="211"/>
      <c r="E36" s="179"/>
      <c r="F36" s="212"/>
      <c r="G36" s="170">
        <v>3</v>
      </c>
      <c r="H36" s="170">
        <v>10</v>
      </c>
      <c r="I36" s="172" t="str">
        <f t="shared" si="0"/>
        <v>Nga_Fr_Lessons-003-010</v>
      </c>
      <c r="J36" s="217" t="str">
        <f t="shared" si="1"/>
        <v>Nga::Fr::Lessons::003</v>
      </c>
    </row>
    <row r="37" spans="1:10" ht="20.25" x14ac:dyDescent="0.3">
      <c r="A37" s="235" t="s">
        <v>186</v>
      </c>
      <c r="B37" s="236" t="s">
        <v>516</v>
      </c>
      <c r="C37" s="192" t="s">
        <v>517</v>
      </c>
      <c r="D37" s="211"/>
      <c r="E37" s="179"/>
      <c r="F37" s="212"/>
      <c r="G37" s="170">
        <v>3</v>
      </c>
      <c r="H37" s="170">
        <v>11</v>
      </c>
      <c r="I37" s="172" t="str">
        <f t="shared" si="0"/>
        <v>Nga_Fr_Lessons-003-011</v>
      </c>
      <c r="J37" s="217" t="str">
        <f t="shared" si="1"/>
        <v>Nga::Fr::Lessons::003</v>
      </c>
    </row>
    <row r="38" spans="1:10" ht="20.25" x14ac:dyDescent="0.3">
      <c r="A38" s="235" t="s">
        <v>194</v>
      </c>
      <c r="B38" s="236" t="s">
        <v>96</v>
      </c>
      <c r="C38" s="192" t="s">
        <v>518</v>
      </c>
      <c r="D38" s="211"/>
      <c r="E38" s="179"/>
      <c r="F38" s="213" t="s">
        <v>519</v>
      </c>
      <c r="G38" s="170">
        <v>3</v>
      </c>
      <c r="H38" s="170">
        <v>12</v>
      </c>
      <c r="I38" s="172" t="str">
        <f t="shared" si="0"/>
        <v>Nga_Fr_Lessons-003-012</v>
      </c>
      <c r="J38" s="217" t="str">
        <f t="shared" si="1"/>
        <v>Nga::Fr::Lessons::003</v>
      </c>
    </row>
    <row r="39" spans="1:10" ht="20.25" x14ac:dyDescent="0.3">
      <c r="A39" s="235" t="s">
        <v>189</v>
      </c>
      <c r="B39" s="236" t="s">
        <v>520</v>
      </c>
      <c r="C39" s="192" t="s">
        <v>521</v>
      </c>
      <c r="D39" s="211"/>
      <c r="E39" s="179"/>
      <c r="F39" s="213">
        <v>3</v>
      </c>
      <c r="G39" s="170">
        <v>3</v>
      </c>
      <c r="H39" s="170">
        <v>13</v>
      </c>
      <c r="I39" s="172" t="str">
        <f t="shared" si="0"/>
        <v>Nga_Fr_Lessons-003-013</v>
      </c>
      <c r="J39" s="217" t="str">
        <f t="shared" si="1"/>
        <v>Nga::Fr::Lessons::003</v>
      </c>
    </row>
    <row r="40" spans="1:10" ht="20.25" x14ac:dyDescent="0.3">
      <c r="A40" s="235" t="s">
        <v>522</v>
      </c>
      <c r="B40" s="236" t="s">
        <v>523</v>
      </c>
      <c r="C40" s="192" t="s">
        <v>524</v>
      </c>
      <c r="D40" s="211"/>
      <c r="E40" s="179"/>
      <c r="F40" s="212"/>
      <c r="G40" s="170">
        <v>3</v>
      </c>
      <c r="H40" s="170">
        <v>14</v>
      </c>
      <c r="I40" s="172" t="str">
        <f t="shared" si="0"/>
        <v>Nga_Fr_Lessons-003-014</v>
      </c>
      <c r="J40" s="217" t="str">
        <f t="shared" si="1"/>
        <v>Nga::Fr::Lessons::003</v>
      </c>
    </row>
    <row r="41" spans="1:10" ht="20.25" x14ac:dyDescent="0.3">
      <c r="A41" s="235" t="s">
        <v>525</v>
      </c>
      <c r="B41" s="236" t="s">
        <v>526</v>
      </c>
      <c r="C41" s="192" t="s">
        <v>527</v>
      </c>
      <c r="D41" s="211"/>
      <c r="E41" s="179"/>
      <c r="F41" s="212"/>
      <c r="G41" s="170">
        <v>3</v>
      </c>
      <c r="H41" s="170">
        <v>15</v>
      </c>
      <c r="I41" s="172" t="str">
        <f t="shared" si="0"/>
        <v>Nga_Fr_Lessons-003-015</v>
      </c>
      <c r="J41" s="217" t="str">
        <f t="shared" si="1"/>
        <v>Nga::Fr::Lessons::003</v>
      </c>
    </row>
    <row r="42" spans="1:10" ht="20.25" x14ac:dyDescent="0.3">
      <c r="A42" s="235" t="s">
        <v>198</v>
      </c>
      <c r="B42" s="236" t="s">
        <v>528</v>
      </c>
      <c r="C42" s="192" t="s">
        <v>529</v>
      </c>
      <c r="D42" s="211"/>
      <c r="E42" s="179"/>
      <c r="F42" s="212"/>
      <c r="G42" s="170">
        <v>3</v>
      </c>
      <c r="H42" s="170">
        <v>16</v>
      </c>
      <c r="I42" s="172" t="str">
        <f t="shared" si="0"/>
        <v>Nga_Fr_Lessons-003-016</v>
      </c>
      <c r="J42" s="217" t="str">
        <f t="shared" si="1"/>
        <v>Nga::Fr::Lessons::003</v>
      </c>
    </row>
    <row r="43" spans="1:10" ht="20.25" x14ac:dyDescent="0.3">
      <c r="A43" s="235" t="s">
        <v>201</v>
      </c>
      <c r="B43" s="236" t="s">
        <v>530</v>
      </c>
      <c r="C43" s="192" t="s">
        <v>531</v>
      </c>
      <c r="D43" s="211"/>
      <c r="E43" s="179"/>
      <c r="F43" s="212"/>
      <c r="G43" s="170">
        <v>3</v>
      </c>
      <c r="H43" s="170">
        <v>17</v>
      </c>
      <c r="I43" s="172" t="str">
        <f t="shared" si="0"/>
        <v>Nga_Fr_Lessons-003-017</v>
      </c>
      <c r="J43" s="217" t="str">
        <f t="shared" si="1"/>
        <v>Nga::Fr::Lessons::003</v>
      </c>
    </row>
    <row r="44" spans="1:10" ht="20.25" x14ac:dyDescent="0.3">
      <c r="A44" s="235" t="s">
        <v>206</v>
      </c>
      <c r="B44" s="236" t="s">
        <v>532</v>
      </c>
      <c r="C44" s="192" t="s">
        <v>533</v>
      </c>
      <c r="D44" s="211"/>
      <c r="E44" s="179"/>
      <c r="F44" s="213" t="s">
        <v>502</v>
      </c>
      <c r="G44" s="170">
        <v>3</v>
      </c>
      <c r="H44" s="170">
        <v>18</v>
      </c>
      <c r="I44" s="172" t="str">
        <f t="shared" si="0"/>
        <v>Nga_Fr_Lessons-003-018</v>
      </c>
      <c r="J44" s="173" t="str">
        <f t="shared" si="1"/>
        <v>Nga::Fr::Lessons::003</v>
      </c>
    </row>
    <row r="45" spans="1:10" ht="20.25" x14ac:dyDescent="0.3">
      <c r="A45" s="235" t="s">
        <v>534</v>
      </c>
      <c r="B45" s="236" t="s">
        <v>535</v>
      </c>
      <c r="C45" s="192" t="s">
        <v>536</v>
      </c>
      <c r="D45" s="211"/>
      <c r="E45" s="179"/>
      <c r="F45" s="212"/>
      <c r="G45" s="170">
        <v>3</v>
      </c>
      <c r="H45" s="170">
        <v>19</v>
      </c>
      <c r="I45" s="172" t="str">
        <f t="shared" si="0"/>
        <v>Nga_Fr_Lessons-003-019</v>
      </c>
      <c r="J45" s="217" t="str">
        <f t="shared" si="1"/>
        <v>Nga::Fr::Lessons::003</v>
      </c>
    </row>
    <row r="46" spans="1:10" ht="20.25" x14ac:dyDescent="0.3">
      <c r="A46" s="235" t="s">
        <v>214</v>
      </c>
      <c r="B46" s="243" t="s">
        <v>537</v>
      </c>
      <c r="C46" s="192" t="s">
        <v>538</v>
      </c>
      <c r="D46" s="211"/>
      <c r="E46" s="179"/>
      <c r="F46" s="212"/>
      <c r="G46" s="170">
        <v>3</v>
      </c>
      <c r="H46" s="170">
        <v>20</v>
      </c>
      <c r="I46" s="172" t="str">
        <f t="shared" si="0"/>
        <v>Nga_Fr_Lessons-003-020</v>
      </c>
      <c r="J46" s="217" t="str">
        <f t="shared" si="1"/>
        <v>Nga::Fr::Lessons::003</v>
      </c>
    </row>
    <row r="47" spans="1:10" ht="21" thickBot="1" x14ac:dyDescent="0.35">
      <c r="A47" s="235" t="s">
        <v>539</v>
      </c>
      <c r="B47" s="236" t="s">
        <v>540</v>
      </c>
      <c r="C47" s="192" t="s">
        <v>541</v>
      </c>
      <c r="D47" s="211"/>
      <c r="E47" s="179"/>
      <c r="F47" s="212"/>
      <c r="G47" s="170">
        <v>3</v>
      </c>
      <c r="H47" s="170">
        <v>21</v>
      </c>
      <c r="I47" s="172" t="str">
        <f t="shared" si="0"/>
        <v>Nga_Fr_Lessons-003-021</v>
      </c>
      <c r="J47" s="217" t="str">
        <f t="shared" si="1"/>
        <v>Nga::Fr::Lessons::003</v>
      </c>
    </row>
    <row r="48" spans="1:10" ht="20.25" x14ac:dyDescent="0.3">
      <c r="A48" s="239" t="s">
        <v>210</v>
      </c>
      <c r="B48" s="240" t="s">
        <v>542</v>
      </c>
      <c r="C48" s="214" t="s">
        <v>543</v>
      </c>
      <c r="D48" s="192" t="s">
        <v>544</v>
      </c>
      <c r="E48" s="175"/>
      <c r="F48" s="222" t="s">
        <v>301</v>
      </c>
      <c r="G48" s="162">
        <v>4</v>
      </c>
      <c r="H48" s="162">
        <v>1</v>
      </c>
      <c r="I48" s="164" t="str">
        <f t="shared" si="0"/>
        <v>Nga_Fr_Lessons-004-001</v>
      </c>
      <c r="J48" s="216" t="str">
        <f t="shared" si="1"/>
        <v>Nga::Fr::Lessons::004</v>
      </c>
    </row>
    <row r="49" spans="1:10" ht="20.25" x14ac:dyDescent="0.3">
      <c r="A49" s="235" t="s">
        <v>212</v>
      </c>
      <c r="B49" s="236" t="s">
        <v>542</v>
      </c>
      <c r="C49" s="192" t="s">
        <v>545</v>
      </c>
      <c r="D49" s="220"/>
      <c r="E49" s="179"/>
      <c r="F49" s="213" t="s">
        <v>302</v>
      </c>
      <c r="G49" s="170">
        <v>4</v>
      </c>
      <c r="H49" s="170">
        <v>2</v>
      </c>
      <c r="I49" s="172" t="str">
        <f t="shared" si="0"/>
        <v>Nga_Fr_Lessons-004-002</v>
      </c>
      <c r="J49" s="217" t="str">
        <f t="shared" si="1"/>
        <v>Nga::Fr::Lessons::004</v>
      </c>
    </row>
    <row r="50" spans="1:10" ht="20.25" x14ac:dyDescent="0.3">
      <c r="A50" s="235" t="s">
        <v>211</v>
      </c>
      <c r="B50" s="236" t="s">
        <v>546</v>
      </c>
      <c r="C50" s="192" t="s">
        <v>547</v>
      </c>
      <c r="D50" s="220"/>
      <c r="E50" s="179"/>
      <c r="F50" s="213" t="s">
        <v>302</v>
      </c>
      <c r="G50" s="170">
        <v>4</v>
      </c>
      <c r="H50" s="170">
        <v>3</v>
      </c>
      <c r="I50" s="172" t="str">
        <f t="shared" si="0"/>
        <v>Nga_Fr_Lessons-004-003</v>
      </c>
      <c r="J50" s="217" t="str">
        <f t="shared" si="1"/>
        <v>Nga::Fr::Lessons::004</v>
      </c>
    </row>
    <row r="51" spans="1:10" ht="20.25" x14ac:dyDescent="0.3">
      <c r="A51" s="235" t="s">
        <v>213</v>
      </c>
      <c r="B51" s="236" t="s">
        <v>548</v>
      </c>
      <c r="C51" s="192" t="s">
        <v>549</v>
      </c>
      <c r="D51" s="220"/>
      <c r="E51" s="179"/>
      <c r="F51" s="213" t="s">
        <v>302</v>
      </c>
      <c r="G51" s="170">
        <v>4</v>
      </c>
      <c r="H51" s="170">
        <v>4</v>
      </c>
      <c r="I51" s="172" t="str">
        <f t="shared" si="0"/>
        <v>Nga_Fr_Lessons-004-004</v>
      </c>
      <c r="J51" s="217" t="str">
        <f t="shared" si="1"/>
        <v>Nga::Fr::Lessons::004</v>
      </c>
    </row>
    <row r="52" spans="1:10" ht="20.25" x14ac:dyDescent="0.3">
      <c r="A52" s="235" t="s">
        <v>216</v>
      </c>
      <c r="B52" s="236" t="s">
        <v>550</v>
      </c>
      <c r="C52" s="192" t="s">
        <v>551</v>
      </c>
      <c r="D52" s="220"/>
      <c r="E52" s="179"/>
      <c r="F52" s="213" t="s">
        <v>302</v>
      </c>
      <c r="G52" s="170">
        <v>4</v>
      </c>
      <c r="H52" s="170">
        <v>5</v>
      </c>
      <c r="I52" s="172" t="str">
        <f t="shared" si="0"/>
        <v>Nga_Fr_Lessons-004-005</v>
      </c>
      <c r="J52" s="217" t="str">
        <f t="shared" si="1"/>
        <v>Nga::Fr::Lessons::004</v>
      </c>
    </row>
    <row r="53" spans="1:10" ht="20.25" x14ac:dyDescent="0.3">
      <c r="A53" s="235" t="s">
        <v>217</v>
      </c>
      <c r="B53" s="236" t="s">
        <v>552</v>
      </c>
      <c r="C53" s="192" t="s">
        <v>553</v>
      </c>
      <c r="D53" s="220"/>
      <c r="E53" s="179"/>
      <c r="F53" s="213" t="s">
        <v>302</v>
      </c>
      <c r="G53" s="170">
        <v>4</v>
      </c>
      <c r="H53" s="170">
        <v>6</v>
      </c>
      <c r="I53" s="172" t="str">
        <f t="shared" si="0"/>
        <v>Nga_Fr_Lessons-004-006</v>
      </c>
      <c r="J53" s="217" t="str">
        <f t="shared" si="1"/>
        <v>Nga::Fr::Lessons::004</v>
      </c>
    </row>
    <row r="54" spans="1:10" ht="20.25" x14ac:dyDescent="0.3">
      <c r="A54" s="235" t="s">
        <v>218</v>
      </c>
      <c r="B54" s="236" t="s">
        <v>554</v>
      </c>
      <c r="C54" s="192" t="s">
        <v>555</v>
      </c>
      <c r="D54" s="220"/>
      <c r="E54" s="179"/>
      <c r="F54" s="212"/>
      <c r="G54" s="170">
        <v>4</v>
      </c>
      <c r="H54" s="170">
        <v>7</v>
      </c>
      <c r="I54" s="172" t="str">
        <f t="shared" si="0"/>
        <v>Nga_Fr_Lessons-004-007</v>
      </c>
      <c r="J54" s="217" t="str">
        <f t="shared" si="1"/>
        <v>Nga::Fr::Lessons::004</v>
      </c>
    </row>
    <row r="55" spans="1:10" ht="20.25" x14ac:dyDescent="0.3">
      <c r="A55" s="235" t="s">
        <v>220</v>
      </c>
      <c r="B55" s="236" t="s">
        <v>556</v>
      </c>
      <c r="C55" s="192" t="s">
        <v>557</v>
      </c>
      <c r="D55" s="220"/>
      <c r="E55" s="179"/>
      <c r="F55" s="213" t="s">
        <v>558</v>
      </c>
      <c r="G55" s="170">
        <v>4</v>
      </c>
      <c r="H55" s="170">
        <v>8</v>
      </c>
      <c r="I55" s="172" t="str">
        <f t="shared" si="0"/>
        <v>Nga_Fr_Lessons-004-008</v>
      </c>
      <c r="J55" s="217" t="str">
        <f t="shared" si="1"/>
        <v>Nga::Fr::Lessons::004</v>
      </c>
    </row>
    <row r="56" spans="1:10" ht="20.25" x14ac:dyDescent="0.3">
      <c r="A56" s="235" t="s">
        <v>222</v>
      </c>
      <c r="B56" s="236" t="s">
        <v>559</v>
      </c>
      <c r="C56" s="192" t="s">
        <v>560</v>
      </c>
      <c r="D56" s="220"/>
      <c r="E56" s="179"/>
      <c r="F56" s="221" t="s">
        <v>561</v>
      </c>
      <c r="G56" s="170">
        <v>4</v>
      </c>
      <c r="H56" s="170">
        <v>9</v>
      </c>
      <c r="I56" s="172" t="str">
        <f t="shared" si="0"/>
        <v>Nga_Fr_Lessons-004-009</v>
      </c>
      <c r="J56" s="217" t="str">
        <f t="shared" si="1"/>
        <v>Nga::Fr::Lessons::004</v>
      </c>
    </row>
    <row r="57" spans="1:10" ht="20.25" x14ac:dyDescent="0.3">
      <c r="A57" s="235" t="s">
        <v>223</v>
      </c>
      <c r="B57" s="236" t="s">
        <v>559</v>
      </c>
      <c r="C57" s="192" t="s">
        <v>562</v>
      </c>
      <c r="D57" s="220"/>
      <c r="E57" s="179"/>
      <c r="F57" s="221" t="s">
        <v>563</v>
      </c>
      <c r="G57" s="170">
        <v>4</v>
      </c>
      <c r="H57" s="170">
        <v>10</v>
      </c>
      <c r="I57" s="172" t="str">
        <f t="shared" si="0"/>
        <v>Nga_Fr_Lessons-004-010</v>
      </c>
      <c r="J57" s="217" t="str">
        <f t="shared" si="1"/>
        <v>Nga::Fr::Lessons::004</v>
      </c>
    </row>
    <row r="58" spans="1:10" ht="20.25" x14ac:dyDescent="0.3">
      <c r="A58" s="235" t="s">
        <v>225</v>
      </c>
      <c r="B58" s="236" t="s">
        <v>564</v>
      </c>
      <c r="C58" s="192" t="s">
        <v>565</v>
      </c>
      <c r="D58" s="220"/>
      <c r="E58" s="179"/>
      <c r="F58" s="213" t="s">
        <v>301</v>
      </c>
      <c r="G58" s="170">
        <v>4</v>
      </c>
      <c r="H58" s="170">
        <v>11</v>
      </c>
      <c r="I58" s="172" t="str">
        <f t="shared" si="0"/>
        <v>Nga_Fr_Lessons-004-011</v>
      </c>
      <c r="J58" s="217" t="str">
        <f t="shared" si="1"/>
        <v>Nga::Fr::Lessons::004</v>
      </c>
    </row>
    <row r="59" spans="1:10" ht="20.25" x14ac:dyDescent="0.3">
      <c r="A59" s="235" t="s">
        <v>227</v>
      </c>
      <c r="B59" s="236" t="s">
        <v>566</v>
      </c>
      <c r="C59" s="192" t="s">
        <v>567</v>
      </c>
      <c r="D59" s="220"/>
      <c r="E59" s="179"/>
      <c r="F59" s="213" t="s">
        <v>302</v>
      </c>
      <c r="G59" s="170">
        <v>4</v>
      </c>
      <c r="H59" s="170">
        <v>12</v>
      </c>
      <c r="I59" s="172" t="str">
        <f t="shared" si="0"/>
        <v>Nga_Fr_Lessons-004-012</v>
      </c>
      <c r="J59" s="217" t="str">
        <f t="shared" si="1"/>
        <v>Nga::Fr::Lessons::004</v>
      </c>
    </row>
    <row r="60" spans="1:10" ht="20.25" x14ac:dyDescent="0.3">
      <c r="A60" s="235" t="s">
        <v>228</v>
      </c>
      <c r="B60" s="236" t="s">
        <v>568</v>
      </c>
      <c r="C60" s="192" t="s">
        <v>569</v>
      </c>
      <c r="D60" s="220"/>
      <c r="E60" s="179"/>
      <c r="F60" s="213" t="s">
        <v>301</v>
      </c>
      <c r="G60" s="170">
        <v>4</v>
      </c>
      <c r="H60" s="170">
        <v>13</v>
      </c>
      <c r="I60" s="172" t="str">
        <f t="shared" si="0"/>
        <v>Nga_Fr_Lessons-004-013</v>
      </c>
      <c r="J60" s="217" t="str">
        <f t="shared" si="1"/>
        <v>Nga::Fr::Lessons::004</v>
      </c>
    </row>
    <row r="61" spans="1:10" ht="20.25" x14ac:dyDescent="0.3">
      <c r="A61" s="235" t="s">
        <v>229</v>
      </c>
      <c r="B61" s="236" t="s">
        <v>570</v>
      </c>
      <c r="C61" s="192" t="s">
        <v>571</v>
      </c>
      <c r="D61" s="220"/>
      <c r="E61" s="179"/>
      <c r="F61" s="213" t="s">
        <v>301</v>
      </c>
      <c r="G61" s="170">
        <v>4</v>
      </c>
      <c r="H61" s="170">
        <v>14</v>
      </c>
      <c r="I61" s="172" t="str">
        <f t="shared" si="0"/>
        <v>Nga_Fr_Lessons-004-014</v>
      </c>
      <c r="J61" s="217" t="str">
        <f t="shared" si="1"/>
        <v>Nga::Fr::Lessons::004</v>
      </c>
    </row>
    <row r="62" spans="1:10" ht="20.25" x14ac:dyDescent="0.3">
      <c r="A62" s="235" t="s">
        <v>231</v>
      </c>
      <c r="B62" s="236" t="s">
        <v>572</v>
      </c>
      <c r="C62" s="192" t="s">
        <v>573</v>
      </c>
      <c r="D62" s="220"/>
      <c r="E62" s="179"/>
      <c r="F62" s="213" t="s">
        <v>302</v>
      </c>
      <c r="G62" s="170">
        <v>4</v>
      </c>
      <c r="H62" s="170">
        <v>15</v>
      </c>
      <c r="I62" s="172" t="str">
        <f t="shared" si="0"/>
        <v>Nga_Fr_Lessons-004-015</v>
      </c>
      <c r="J62" s="217" t="str">
        <f t="shared" si="1"/>
        <v>Nga::Fr::Lessons::004</v>
      </c>
    </row>
    <row r="63" spans="1:10" ht="20.25" x14ac:dyDescent="0.3">
      <c r="A63" s="235" t="s">
        <v>232</v>
      </c>
      <c r="B63" s="236" t="s">
        <v>574</v>
      </c>
      <c r="C63" s="192" t="s">
        <v>575</v>
      </c>
      <c r="D63" s="220"/>
      <c r="E63" s="179"/>
      <c r="F63" s="213" t="s">
        <v>302</v>
      </c>
      <c r="G63" s="170">
        <v>4</v>
      </c>
      <c r="H63" s="170">
        <v>16</v>
      </c>
      <c r="I63" s="172" t="str">
        <f t="shared" si="0"/>
        <v>Nga_Fr_Lessons-004-016</v>
      </c>
      <c r="J63" s="217" t="str">
        <f t="shared" si="1"/>
        <v>Nga::Fr::Lessons::004</v>
      </c>
    </row>
    <row r="64" spans="1:10" ht="20.25" x14ac:dyDescent="0.3">
      <c r="A64" s="235" t="s">
        <v>118</v>
      </c>
      <c r="B64" s="236" t="s">
        <v>576</v>
      </c>
      <c r="C64" s="192" t="s">
        <v>577</v>
      </c>
      <c r="D64" s="220"/>
      <c r="E64" s="179"/>
      <c r="F64" s="213"/>
      <c r="G64" s="170">
        <v>4</v>
      </c>
      <c r="H64" s="170">
        <v>17</v>
      </c>
      <c r="I64" s="172" t="str">
        <f t="shared" si="0"/>
        <v>Nga_Fr_Lessons-004-017</v>
      </c>
      <c r="J64" s="217" t="str">
        <f t="shared" si="1"/>
        <v>Nga::Fr::Lessons::004</v>
      </c>
    </row>
    <row r="65" spans="1:10" ht="20.25" x14ac:dyDescent="0.3">
      <c r="A65" s="235" t="s">
        <v>233</v>
      </c>
      <c r="B65" s="236" t="s">
        <v>578</v>
      </c>
      <c r="C65" s="192" t="s">
        <v>579</v>
      </c>
      <c r="D65" s="211"/>
      <c r="E65" s="179"/>
      <c r="F65" s="213" t="s">
        <v>302</v>
      </c>
      <c r="G65" s="170">
        <v>4</v>
      </c>
      <c r="H65" s="170">
        <v>18</v>
      </c>
      <c r="I65" s="172" t="str">
        <f t="shared" si="0"/>
        <v>Nga_Fr_Lessons-004-018</v>
      </c>
      <c r="J65" s="217" t="str">
        <f t="shared" si="1"/>
        <v>Nga::Fr::Lessons::004</v>
      </c>
    </row>
    <row r="66" spans="1:10" ht="20.25" x14ac:dyDescent="0.3">
      <c r="A66" s="235" t="s">
        <v>238</v>
      </c>
      <c r="B66" s="236" t="s">
        <v>580</v>
      </c>
      <c r="C66" s="192" t="s">
        <v>581</v>
      </c>
      <c r="D66" s="220"/>
      <c r="E66" s="179"/>
      <c r="F66" s="212"/>
      <c r="G66" s="170">
        <v>5</v>
      </c>
      <c r="H66" s="170">
        <v>1</v>
      </c>
      <c r="I66" s="172" t="str">
        <f t="shared" si="0"/>
        <v>Nga_Fr_Lessons-005-001</v>
      </c>
      <c r="J66" s="217" t="str">
        <f t="shared" si="1"/>
        <v>Nga::Fr::Lessons::005</v>
      </c>
    </row>
    <row r="67" spans="1:10" ht="20.25" x14ac:dyDescent="0.3">
      <c r="A67" s="235" t="s">
        <v>582</v>
      </c>
      <c r="B67" s="236" t="s">
        <v>583</v>
      </c>
      <c r="C67" s="192" t="s">
        <v>584</v>
      </c>
      <c r="D67" s="220"/>
      <c r="E67" s="179"/>
      <c r="F67" s="212"/>
      <c r="G67" s="170">
        <v>5</v>
      </c>
      <c r="H67" s="170">
        <v>2</v>
      </c>
      <c r="I67" s="172" t="str">
        <f t="shared" ref="I67:I130" si="2">"Nga_Fr_Lessons"&amp;"-"&amp;TEXT(G67,"000")&amp;"-"&amp;TEXT(H67,"000")</f>
        <v>Nga_Fr_Lessons-005-002</v>
      </c>
      <c r="J67" s="217" t="str">
        <f t="shared" ref="J67:J130" si="3">"Nga::Fr::Lessons"&amp;"::"&amp;TEXT(G67,"000")</f>
        <v>Nga::Fr::Lessons::005</v>
      </c>
    </row>
    <row r="68" spans="1:10" ht="20.25" x14ac:dyDescent="0.3">
      <c r="A68" s="235" t="s">
        <v>242</v>
      </c>
      <c r="B68" s="236" t="s">
        <v>585</v>
      </c>
      <c r="C68" s="192" t="s">
        <v>586</v>
      </c>
      <c r="D68" s="220"/>
      <c r="E68" s="179"/>
      <c r="F68" s="212"/>
      <c r="G68" s="170">
        <v>5</v>
      </c>
      <c r="H68" s="170">
        <v>3</v>
      </c>
      <c r="I68" s="172" t="str">
        <f t="shared" si="2"/>
        <v>Nga_Fr_Lessons-005-003</v>
      </c>
      <c r="J68" s="217" t="str">
        <f t="shared" si="3"/>
        <v>Nga::Fr::Lessons::005</v>
      </c>
    </row>
    <row r="69" spans="1:10" ht="21" thickBot="1" x14ac:dyDescent="0.35">
      <c r="A69" s="237" t="s">
        <v>245</v>
      </c>
      <c r="B69" s="238" t="s">
        <v>587</v>
      </c>
      <c r="C69" s="193" t="s">
        <v>588</v>
      </c>
      <c r="D69" s="223"/>
      <c r="E69" s="184"/>
      <c r="F69" s="218"/>
      <c r="G69" s="194">
        <v>5</v>
      </c>
      <c r="H69" s="194">
        <v>4</v>
      </c>
      <c r="I69" s="195" t="str">
        <f t="shared" si="2"/>
        <v>Nga_Fr_Lessons-005-004</v>
      </c>
      <c r="J69" s="219" t="str">
        <f t="shared" si="3"/>
        <v>Nga::Fr::Lessons::005</v>
      </c>
    </row>
    <row r="70" spans="1:10" ht="20.25" x14ac:dyDescent="0.3">
      <c r="A70" s="244" t="s">
        <v>254</v>
      </c>
      <c r="B70" s="236" t="s">
        <v>589</v>
      </c>
      <c r="C70" s="192" t="s">
        <v>590</v>
      </c>
      <c r="D70" s="220"/>
      <c r="E70" s="179"/>
      <c r="F70" s="212"/>
      <c r="G70" s="170">
        <v>5</v>
      </c>
      <c r="H70" s="170">
        <v>5</v>
      </c>
      <c r="I70" s="172" t="str">
        <f t="shared" si="2"/>
        <v>Nga_Fr_Lessons-005-005</v>
      </c>
      <c r="J70" s="173" t="str">
        <f t="shared" si="3"/>
        <v>Nga::Fr::Lessons::005</v>
      </c>
    </row>
    <row r="71" spans="1:10" ht="20.25" x14ac:dyDescent="0.3">
      <c r="A71" s="235" t="s">
        <v>258</v>
      </c>
      <c r="B71" s="236" t="s">
        <v>591</v>
      </c>
      <c r="C71" s="192" t="s">
        <v>592</v>
      </c>
      <c r="D71" s="220"/>
      <c r="E71" s="179"/>
      <c r="F71" s="213" t="s">
        <v>128</v>
      </c>
      <c r="G71" s="170">
        <v>5</v>
      </c>
      <c r="H71" s="170">
        <v>6</v>
      </c>
      <c r="I71" s="172" t="str">
        <f t="shared" si="2"/>
        <v>Nga_Fr_Lessons-005-006</v>
      </c>
      <c r="J71" s="173" t="str">
        <f t="shared" si="3"/>
        <v>Nga::Fr::Lessons::005</v>
      </c>
    </row>
    <row r="72" spans="1:10" ht="20.25" x14ac:dyDescent="0.3">
      <c r="A72" s="235" t="s">
        <v>593</v>
      </c>
      <c r="B72" s="243" t="s">
        <v>594</v>
      </c>
      <c r="C72" s="192" t="s">
        <v>595</v>
      </c>
      <c r="D72" s="192" t="s">
        <v>596</v>
      </c>
      <c r="E72" s="179"/>
      <c r="F72" s="213" t="s">
        <v>597</v>
      </c>
      <c r="G72" s="171">
        <v>5</v>
      </c>
      <c r="H72" s="171">
        <v>7</v>
      </c>
      <c r="I72" s="172" t="str">
        <f t="shared" si="2"/>
        <v>Nga_Fr_Lessons-005-007</v>
      </c>
      <c r="J72" s="173" t="str">
        <f t="shared" si="3"/>
        <v>Nga::Fr::Lessons::005</v>
      </c>
    </row>
    <row r="73" spans="1:10" ht="20.25" x14ac:dyDescent="0.3">
      <c r="A73" s="235" t="s">
        <v>267</v>
      </c>
      <c r="B73" s="243" t="s">
        <v>598</v>
      </c>
      <c r="C73" s="177" t="s">
        <v>599</v>
      </c>
      <c r="D73" s="178"/>
      <c r="E73" s="179"/>
      <c r="F73" s="212"/>
      <c r="G73" s="171">
        <v>5</v>
      </c>
      <c r="H73" s="171">
        <v>8</v>
      </c>
      <c r="I73" s="180" t="str">
        <f t="shared" si="2"/>
        <v>Nga_Fr_Lessons-005-008</v>
      </c>
      <c r="J73" s="173" t="str">
        <f t="shared" si="3"/>
        <v>Nga::Fr::Lessons::005</v>
      </c>
    </row>
    <row r="74" spans="1:10" ht="20.25" x14ac:dyDescent="0.3">
      <c r="A74" s="235" t="s">
        <v>268</v>
      </c>
      <c r="B74" s="243" t="s">
        <v>600</v>
      </c>
      <c r="C74" s="177" t="s">
        <v>601</v>
      </c>
      <c r="D74" s="181"/>
      <c r="E74" s="179"/>
      <c r="F74" s="212"/>
      <c r="G74" s="171">
        <v>5</v>
      </c>
      <c r="H74" s="171">
        <v>9</v>
      </c>
      <c r="I74" s="180" t="str">
        <f t="shared" si="2"/>
        <v>Nga_Fr_Lessons-005-009</v>
      </c>
      <c r="J74" s="173" t="str">
        <f t="shared" si="3"/>
        <v>Nga::Fr::Lessons::005</v>
      </c>
    </row>
    <row r="75" spans="1:10" ht="20.25" x14ac:dyDescent="0.3">
      <c r="A75" s="235" t="s">
        <v>602</v>
      </c>
      <c r="B75" s="243" t="s">
        <v>603</v>
      </c>
      <c r="C75" s="177" t="s">
        <v>604</v>
      </c>
      <c r="D75" s="177" t="s">
        <v>605</v>
      </c>
      <c r="E75" s="179"/>
      <c r="F75" s="174" t="s">
        <v>606</v>
      </c>
      <c r="G75" s="171">
        <v>5</v>
      </c>
      <c r="H75" s="171">
        <v>10</v>
      </c>
      <c r="I75" s="180" t="str">
        <f t="shared" si="2"/>
        <v>Nga_Fr_Lessons-005-010</v>
      </c>
      <c r="J75" s="173" t="str">
        <f t="shared" si="3"/>
        <v>Nga::Fr::Lessons::005</v>
      </c>
    </row>
    <row r="76" spans="1:10" ht="20.25" x14ac:dyDescent="0.3">
      <c r="A76" s="235" t="s">
        <v>265</v>
      </c>
      <c r="B76" s="243" t="s">
        <v>607</v>
      </c>
      <c r="C76" s="177" t="s">
        <v>608</v>
      </c>
      <c r="D76" s="181"/>
      <c r="E76" s="179"/>
      <c r="F76" s="169"/>
      <c r="G76" s="171">
        <v>5</v>
      </c>
      <c r="H76" s="171">
        <v>11</v>
      </c>
      <c r="I76" s="180" t="str">
        <f t="shared" si="2"/>
        <v>Nga_Fr_Lessons-005-011</v>
      </c>
      <c r="J76" s="173" t="str">
        <f t="shared" si="3"/>
        <v>Nga::Fr::Lessons::005</v>
      </c>
    </row>
    <row r="77" spans="1:10" ht="20.25" x14ac:dyDescent="0.3">
      <c r="A77" s="235" t="s">
        <v>609</v>
      </c>
      <c r="B77" s="243" t="s">
        <v>610</v>
      </c>
      <c r="C77" s="177" t="s">
        <v>611</v>
      </c>
      <c r="D77" s="177" t="s">
        <v>612</v>
      </c>
      <c r="E77" s="179"/>
      <c r="F77" s="174" t="s">
        <v>613</v>
      </c>
      <c r="G77" s="171">
        <v>5</v>
      </c>
      <c r="H77" s="171">
        <v>12</v>
      </c>
      <c r="I77" s="180" t="str">
        <f t="shared" si="2"/>
        <v>Nga_Fr_Lessons-005-012</v>
      </c>
      <c r="J77" s="173" t="str">
        <f t="shared" si="3"/>
        <v>Nga::Fr::Lessons::005</v>
      </c>
    </row>
    <row r="78" spans="1:10" ht="20.25" x14ac:dyDescent="0.3">
      <c r="A78" s="235" t="s">
        <v>614</v>
      </c>
      <c r="B78" s="243" t="s">
        <v>615</v>
      </c>
      <c r="C78" s="177" t="s">
        <v>616</v>
      </c>
      <c r="D78" s="177"/>
      <c r="E78" s="179"/>
      <c r="F78" s="174" t="s">
        <v>128</v>
      </c>
      <c r="G78" s="171">
        <v>5</v>
      </c>
      <c r="H78" s="171">
        <v>13</v>
      </c>
      <c r="I78" s="180" t="str">
        <f t="shared" si="2"/>
        <v>Nga_Fr_Lessons-005-013</v>
      </c>
      <c r="J78" s="173" t="str">
        <f t="shared" si="3"/>
        <v>Nga::Fr::Lessons::005</v>
      </c>
    </row>
    <row r="79" spans="1:10" ht="20.25" x14ac:dyDescent="0.3">
      <c r="A79" s="235" t="s">
        <v>617</v>
      </c>
      <c r="B79" s="243" t="s">
        <v>618</v>
      </c>
      <c r="C79" s="177" t="s">
        <v>619</v>
      </c>
      <c r="D79" s="181"/>
      <c r="E79" s="179"/>
      <c r="F79" s="169"/>
      <c r="G79" s="171">
        <v>5</v>
      </c>
      <c r="H79" s="171">
        <v>14</v>
      </c>
      <c r="I79" s="180" t="str">
        <f t="shared" si="2"/>
        <v>Nga_Fr_Lessons-005-014</v>
      </c>
      <c r="J79" s="173" t="str">
        <f t="shared" si="3"/>
        <v>Nga::Fr::Lessons::005</v>
      </c>
    </row>
    <row r="80" spans="1:10" ht="21" thickBot="1" x14ac:dyDescent="0.35">
      <c r="A80" s="237" t="s">
        <v>620</v>
      </c>
      <c r="B80" s="245" t="s">
        <v>621</v>
      </c>
      <c r="C80" s="182" t="s">
        <v>622</v>
      </c>
      <c r="D80" s="183"/>
      <c r="E80" s="184"/>
      <c r="F80" s="185"/>
      <c r="G80" s="186">
        <v>5</v>
      </c>
      <c r="H80" s="186">
        <v>15</v>
      </c>
      <c r="I80" s="187" t="str">
        <f t="shared" si="2"/>
        <v>Nga_Fr_Lessons-005-015</v>
      </c>
      <c r="J80" s="188" t="str">
        <f t="shared" si="3"/>
        <v>Nga::Fr::Lessons::005</v>
      </c>
    </row>
    <row r="81" spans="1:10" ht="20.25" x14ac:dyDescent="0.3">
      <c r="A81" s="239" t="s">
        <v>315</v>
      </c>
      <c r="B81" s="246" t="s">
        <v>357</v>
      </c>
      <c r="C81" s="189" t="s">
        <v>623</v>
      </c>
      <c r="D81" s="190"/>
      <c r="E81" s="175"/>
      <c r="F81" s="161"/>
      <c r="G81" s="163">
        <v>6</v>
      </c>
      <c r="H81" s="163">
        <v>1</v>
      </c>
      <c r="I81" s="176" t="str">
        <f t="shared" si="2"/>
        <v>Nga_Fr_Lessons-006-001</v>
      </c>
      <c r="J81" s="165" t="str">
        <f t="shared" si="3"/>
        <v>Nga::Fr::Lessons::006</v>
      </c>
    </row>
    <row r="82" spans="1:10" ht="20.25" x14ac:dyDescent="0.3">
      <c r="A82" s="235" t="s">
        <v>316</v>
      </c>
      <c r="B82" s="243" t="s">
        <v>358</v>
      </c>
      <c r="C82" s="177" t="s">
        <v>624</v>
      </c>
      <c r="D82" s="177"/>
      <c r="E82" s="179"/>
      <c r="F82" s="169"/>
      <c r="G82" s="171">
        <v>6</v>
      </c>
      <c r="H82" s="171">
        <v>2</v>
      </c>
      <c r="I82" s="180" t="str">
        <f t="shared" si="2"/>
        <v>Nga_Fr_Lessons-006-002</v>
      </c>
      <c r="J82" s="173" t="str">
        <f t="shared" si="3"/>
        <v>Nga::Fr::Lessons::006</v>
      </c>
    </row>
    <row r="83" spans="1:10" ht="20.25" x14ac:dyDescent="0.3">
      <c r="A83" s="235" t="s">
        <v>318</v>
      </c>
      <c r="B83" s="243" t="s">
        <v>359</v>
      </c>
      <c r="C83" s="177" t="s">
        <v>625</v>
      </c>
      <c r="D83" s="177"/>
      <c r="E83" s="179"/>
      <c r="F83" s="169"/>
      <c r="G83" s="171">
        <v>6</v>
      </c>
      <c r="H83" s="171">
        <v>3</v>
      </c>
      <c r="I83" s="180" t="str">
        <f t="shared" si="2"/>
        <v>Nga_Fr_Lessons-006-003</v>
      </c>
      <c r="J83" s="173" t="str">
        <f t="shared" si="3"/>
        <v>Nga::Fr::Lessons::006</v>
      </c>
    </row>
    <row r="84" spans="1:10" ht="20.25" x14ac:dyDescent="0.3">
      <c r="A84" s="235" t="s">
        <v>349</v>
      </c>
      <c r="B84" s="243" t="s">
        <v>360</v>
      </c>
      <c r="C84" s="177" t="s">
        <v>626</v>
      </c>
      <c r="D84" s="177"/>
      <c r="E84" s="179"/>
      <c r="F84" s="169"/>
      <c r="G84" s="171">
        <v>6</v>
      </c>
      <c r="H84" s="171">
        <v>4</v>
      </c>
      <c r="I84" s="180" t="str">
        <f t="shared" si="2"/>
        <v>Nga_Fr_Lessons-006-004</v>
      </c>
      <c r="J84" s="173" t="str">
        <f t="shared" si="3"/>
        <v>Nga::Fr::Lessons::006</v>
      </c>
    </row>
    <row r="85" spans="1:10" ht="20.25" x14ac:dyDescent="0.3">
      <c r="A85" s="235" t="s">
        <v>351</v>
      </c>
      <c r="B85" s="243" t="s">
        <v>361</v>
      </c>
      <c r="C85" s="177" t="s">
        <v>627</v>
      </c>
      <c r="D85" s="177"/>
      <c r="E85" s="179"/>
      <c r="F85" s="169"/>
      <c r="G85" s="171">
        <v>6</v>
      </c>
      <c r="H85" s="171">
        <v>5</v>
      </c>
      <c r="I85" s="180" t="str">
        <f t="shared" si="2"/>
        <v>Nga_Fr_Lessons-006-005</v>
      </c>
      <c r="J85" s="173" t="str">
        <f t="shared" si="3"/>
        <v>Nga::Fr::Lessons::006</v>
      </c>
    </row>
    <row r="86" spans="1:10" ht="20.25" x14ac:dyDescent="0.3">
      <c r="A86" s="235" t="s">
        <v>352</v>
      </c>
      <c r="B86" s="243" t="s">
        <v>362</v>
      </c>
      <c r="C86" s="177" t="s">
        <v>628</v>
      </c>
      <c r="D86" s="177"/>
      <c r="E86" s="179"/>
      <c r="F86" s="169"/>
      <c r="G86" s="171">
        <v>6</v>
      </c>
      <c r="H86" s="171">
        <v>6</v>
      </c>
      <c r="I86" s="180" t="str">
        <f t="shared" si="2"/>
        <v>Nga_Fr_Lessons-006-006</v>
      </c>
      <c r="J86" s="173" t="str">
        <f t="shared" si="3"/>
        <v>Nga::Fr::Lessons::006</v>
      </c>
    </row>
    <row r="87" spans="1:10" ht="20.25" x14ac:dyDescent="0.3">
      <c r="A87" s="235" t="s">
        <v>350</v>
      </c>
      <c r="B87" s="243" t="s">
        <v>363</v>
      </c>
      <c r="C87" s="177" t="s">
        <v>629</v>
      </c>
      <c r="D87" s="177"/>
      <c r="E87" s="179"/>
      <c r="F87" s="169"/>
      <c r="G87" s="171">
        <v>6</v>
      </c>
      <c r="H87" s="171">
        <v>7</v>
      </c>
      <c r="I87" s="180" t="str">
        <f t="shared" si="2"/>
        <v>Nga_Fr_Lessons-006-007</v>
      </c>
      <c r="J87" s="173" t="str">
        <f t="shared" si="3"/>
        <v>Nga::Fr::Lessons::006</v>
      </c>
    </row>
    <row r="88" spans="1:10" ht="20.25" x14ac:dyDescent="0.3">
      <c r="A88" s="235" t="s">
        <v>292</v>
      </c>
      <c r="B88" s="243" t="s">
        <v>364</v>
      </c>
      <c r="C88" s="177" t="s">
        <v>630</v>
      </c>
      <c r="D88" s="177"/>
      <c r="E88" s="179"/>
      <c r="F88" s="169"/>
      <c r="G88" s="171">
        <v>6</v>
      </c>
      <c r="H88" s="171">
        <v>8</v>
      </c>
      <c r="I88" s="180" t="str">
        <f t="shared" si="2"/>
        <v>Nga_Fr_Lessons-006-008</v>
      </c>
      <c r="J88" s="173" t="str">
        <f t="shared" si="3"/>
        <v>Nga::Fr::Lessons::006</v>
      </c>
    </row>
    <row r="89" spans="1:10" ht="20.25" x14ac:dyDescent="0.3">
      <c r="A89" s="235" t="s">
        <v>293</v>
      </c>
      <c r="B89" s="243" t="s">
        <v>365</v>
      </c>
      <c r="C89" s="177" t="s">
        <v>631</v>
      </c>
      <c r="D89" s="177"/>
      <c r="E89" s="179"/>
      <c r="F89" s="169"/>
      <c r="G89" s="171">
        <v>6</v>
      </c>
      <c r="H89" s="171">
        <v>9</v>
      </c>
      <c r="I89" s="180" t="str">
        <f t="shared" si="2"/>
        <v>Nga_Fr_Lessons-006-009</v>
      </c>
      <c r="J89" s="173" t="str">
        <f t="shared" si="3"/>
        <v>Nga::Fr::Lessons::006</v>
      </c>
    </row>
    <row r="90" spans="1:10" ht="20.25" x14ac:dyDescent="0.3">
      <c r="A90" s="235" t="s">
        <v>321</v>
      </c>
      <c r="B90" s="243" t="s">
        <v>366</v>
      </c>
      <c r="C90" s="177" t="s">
        <v>632</v>
      </c>
      <c r="D90" s="177"/>
      <c r="E90" s="179"/>
      <c r="F90" s="174" t="s">
        <v>606</v>
      </c>
      <c r="G90" s="171">
        <v>6</v>
      </c>
      <c r="H90" s="171">
        <v>10</v>
      </c>
      <c r="I90" s="180" t="str">
        <f t="shared" si="2"/>
        <v>Nga_Fr_Lessons-006-010</v>
      </c>
      <c r="J90" s="173" t="str">
        <f t="shared" si="3"/>
        <v>Nga::Fr::Lessons::006</v>
      </c>
    </row>
    <row r="91" spans="1:10" ht="20.25" x14ac:dyDescent="0.3">
      <c r="A91" s="235" t="s">
        <v>353</v>
      </c>
      <c r="B91" s="243" t="s">
        <v>367</v>
      </c>
      <c r="C91" s="177" t="s">
        <v>633</v>
      </c>
      <c r="D91" s="177"/>
      <c r="E91" s="179"/>
      <c r="F91" s="169"/>
      <c r="G91" s="171">
        <v>6</v>
      </c>
      <c r="H91" s="171">
        <v>11</v>
      </c>
      <c r="I91" s="180" t="str">
        <f t="shared" si="2"/>
        <v>Nga_Fr_Lessons-006-011</v>
      </c>
      <c r="J91" s="173" t="str">
        <f t="shared" si="3"/>
        <v>Nga::Fr::Lessons::006</v>
      </c>
    </row>
    <row r="92" spans="1:10" ht="20.25" x14ac:dyDescent="0.3">
      <c r="A92" s="235" t="s">
        <v>354</v>
      </c>
      <c r="B92" s="243" t="s">
        <v>368</v>
      </c>
      <c r="C92" s="177" t="s">
        <v>634</v>
      </c>
      <c r="D92" s="177"/>
      <c r="E92" s="179"/>
      <c r="F92" s="169"/>
      <c r="G92" s="171">
        <v>6</v>
      </c>
      <c r="H92" s="171">
        <v>12</v>
      </c>
      <c r="I92" s="180" t="str">
        <f t="shared" si="2"/>
        <v>Nga_Fr_Lessons-006-012</v>
      </c>
      <c r="J92" s="173" t="str">
        <f t="shared" si="3"/>
        <v>Nga::Fr::Lessons::006</v>
      </c>
    </row>
    <row r="93" spans="1:10" ht="20.25" x14ac:dyDescent="0.3">
      <c r="A93" s="235" t="s">
        <v>326</v>
      </c>
      <c r="B93" s="243" t="s">
        <v>369</v>
      </c>
      <c r="C93" s="177" t="s">
        <v>635</v>
      </c>
      <c r="D93" s="177"/>
      <c r="E93" s="179"/>
      <c r="F93" s="174" t="s">
        <v>606</v>
      </c>
      <c r="G93" s="171">
        <v>6</v>
      </c>
      <c r="H93" s="171">
        <v>13</v>
      </c>
      <c r="I93" s="180" t="str">
        <f t="shared" si="2"/>
        <v>Nga_Fr_Lessons-006-013</v>
      </c>
      <c r="J93" s="173" t="str">
        <f t="shared" si="3"/>
        <v>Nga::Fr::Lessons::006</v>
      </c>
    </row>
    <row r="94" spans="1:10" ht="20.25" x14ac:dyDescent="0.3">
      <c r="A94" s="235" t="s">
        <v>355</v>
      </c>
      <c r="B94" s="243" t="s">
        <v>370</v>
      </c>
      <c r="C94" s="177" t="s">
        <v>636</v>
      </c>
      <c r="D94" s="177"/>
      <c r="E94" s="179"/>
      <c r="F94" s="169"/>
      <c r="G94" s="171">
        <v>6</v>
      </c>
      <c r="H94" s="171">
        <v>14</v>
      </c>
      <c r="I94" s="180" t="str">
        <f t="shared" si="2"/>
        <v>Nga_Fr_Lessons-006-014</v>
      </c>
      <c r="J94" s="173" t="str">
        <f t="shared" si="3"/>
        <v>Nga::Fr::Lessons::006</v>
      </c>
    </row>
    <row r="95" spans="1:10" ht="20.25" x14ac:dyDescent="0.3">
      <c r="A95" s="235" t="s">
        <v>329</v>
      </c>
      <c r="B95" s="243" t="s">
        <v>371</v>
      </c>
      <c r="C95" s="177" t="s">
        <v>637</v>
      </c>
      <c r="D95" s="177"/>
      <c r="E95" s="179"/>
      <c r="F95" s="174" t="s">
        <v>606</v>
      </c>
      <c r="G95" s="171">
        <v>6</v>
      </c>
      <c r="H95" s="171">
        <v>15</v>
      </c>
      <c r="I95" s="180" t="str">
        <f t="shared" si="2"/>
        <v>Nga_Fr_Lessons-006-015</v>
      </c>
      <c r="J95" s="173" t="str">
        <f t="shared" si="3"/>
        <v>Nga::Fr::Lessons::006</v>
      </c>
    </row>
    <row r="96" spans="1:10" ht="21" thickBot="1" x14ac:dyDescent="0.35">
      <c r="A96" s="237" t="s">
        <v>330</v>
      </c>
      <c r="B96" s="245" t="s">
        <v>372</v>
      </c>
      <c r="C96" s="182" t="s">
        <v>638</v>
      </c>
      <c r="D96" s="182"/>
      <c r="E96" s="184"/>
      <c r="F96" s="185"/>
      <c r="G96" s="186">
        <v>6</v>
      </c>
      <c r="H96" s="186">
        <v>16</v>
      </c>
      <c r="I96" s="187" t="str">
        <f t="shared" si="2"/>
        <v>Nga_Fr_Lessons-006-016</v>
      </c>
      <c r="J96" s="188" t="str">
        <f t="shared" si="3"/>
        <v>Nga::Fr::Lessons::006</v>
      </c>
    </row>
    <row r="97" spans="1:10" ht="20.25" x14ac:dyDescent="0.3">
      <c r="A97" s="235" t="s">
        <v>374</v>
      </c>
      <c r="B97" s="243" t="s">
        <v>639</v>
      </c>
      <c r="C97" s="177" t="s">
        <v>640</v>
      </c>
      <c r="D97" s="177"/>
      <c r="E97" s="179"/>
      <c r="F97" s="169"/>
      <c r="G97" s="171">
        <v>7</v>
      </c>
      <c r="H97" s="171">
        <v>1</v>
      </c>
      <c r="I97" s="180" t="str">
        <f t="shared" si="2"/>
        <v>Nga_Fr_Lessons-007-001</v>
      </c>
      <c r="J97" s="173" t="str">
        <f t="shared" si="3"/>
        <v>Nga::Fr::Lessons::007</v>
      </c>
    </row>
    <row r="98" spans="1:10" ht="20.25" x14ac:dyDescent="0.3">
      <c r="A98" s="235" t="s">
        <v>641</v>
      </c>
      <c r="B98" s="243" t="s">
        <v>642</v>
      </c>
      <c r="C98" s="177" t="s">
        <v>643</v>
      </c>
      <c r="D98" s="177"/>
      <c r="E98" s="179"/>
      <c r="F98" s="174" t="s">
        <v>128</v>
      </c>
      <c r="G98" s="171">
        <v>7</v>
      </c>
      <c r="H98" s="171">
        <v>2</v>
      </c>
      <c r="I98" s="180" t="str">
        <f t="shared" si="2"/>
        <v>Nga_Fr_Lessons-007-002</v>
      </c>
      <c r="J98" s="173" t="str">
        <f t="shared" si="3"/>
        <v>Nga::Fr::Lessons::007</v>
      </c>
    </row>
    <row r="99" spans="1:10" ht="20.25" x14ac:dyDescent="0.3">
      <c r="A99" s="235" t="s">
        <v>376</v>
      </c>
      <c r="B99" s="243" t="s">
        <v>644</v>
      </c>
      <c r="C99" s="177" t="s">
        <v>645</v>
      </c>
      <c r="D99" s="177"/>
      <c r="E99" s="179"/>
      <c r="F99" s="174" t="s">
        <v>128</v>
      </c>
      <c r="G99" s="171">
        <v>7</v>
      </c>
      <c r="H99" s="171">
        <v>3</v>
      </c>
      <c r="I99" s="180" t="str">
        <f t="shared" si="2"/>
        <v>Nga_Fr_Lessons-007-003</v>
      </c>
      <c r="J99" s="173" t="str">
        <f t="shared" si="3"/>
        <v>Nga::Fr::Lessons::007</v>
      </c>
    </row>
    <row r="100" spans="1:10" ht="20.25" x14ac:dyDescent="0.3">
      <c r="A100" s="235" t="s">
        <v>377</v>
      </c>
      <c r="B100" s="243" t="s">
        <v>646</v>
      </c>
      <c r="C100" s="177" t="s">
        <v>647</v>
      </c>
      <c r="D100" s="177"/>
      <c r="E100" s="179"/>
      <c r="F100" s="174" t="s">
        <v>648</v>
      </c>
      <c r="G100" s="171">
        <v>7</v>
      </c>
      <c r="H100" s="171">
        <v>4</v>
      </c>
      <c r="I100" s="180" t="str">
        <f t="shared" si="2"/>
        <v>Nga_Fr_Lessons-007-004</v>
      </c>
      <c r="J100" s="173" t="str">
        <f t="shared" si="3"/>
        <v>Nga::Fr::Lessons::007</v>
      </c>
    </row>
    <row r="101" spans="1:10" ht="20.25" x14ac:dyDescent="0.3">
      <c r="A101" s="235" t="s">
        <v>649</v>
      </c>
      <c r="B101" s="243" t="s">
        <v>649</v>
      </c>
      <c r="C101" s="177" t="s">
        <v>650</v>
      </c>
      <c r="D101" s="177"/>
      <c r="E101" s="179"/>
      <c r="F101" s="174" t="s">
        <v>128</v>
      </c>
      <c r="G101" s="171">
        <v>7</v>
      </c>
      <c r="H101" s="171">
        <v>5</v>
      </c>
      <c r="I101" s="180" t="str">
        <f t="shared" si="2"/>
        <v>Nga_Fr_Lessons-007-005</v>
      </c>
      <c r="J101" s="173" t="str">
        <f t="shared" si="3"/>
        <v>Nga::Fr::Lessons::007</v>
      </c>
    </row>
    <row r="102" spans="1:10" ht="20.25" x14ac:dyDescent="0.3">
      <c r="A102" s="235" t="s">
        <v>651</v>
      </c>
      <c r="B102" s="243" t="s">
        <v>652</v>
      </c>
      <c r="C102" s="177" t="s">
        <v>653</v>
      </c>
      <c r="D102" s="177"/>
      <c r="E102" s="179"/>
      <c r="F102" s="174" t="s">
        <v>128</v>
      </c>
      <c r="G102" s="171">
        <v>7</v>
      </c>
      <c r="H102" s="171">
        <v>6</v>
      </c>
      <c r="I102" s="180" t="str">
        <f t="shared" si="2"/>
        <v>Nga_Fr_Lessons-007-006</v>
      </c>
      <c r="J102" s="173" t="str">
        <f t="shared" si="3"/>
        <v>Nga::Fr::Lessons::007</v>
      </c>
    </row>
    <row r="103" spans="1:10" ht="20.25" x14ac:dyDescent="0.3">
      <c r="A103" s="235" t="s">
        <v>654</v>
      </c>
      <c r="B103" s="243" t="s">
        <v>655</v>
      </c>
      <c r="C103" s="177" t="s">
        <v>656</v>
      </c>
      <c r="D103" s="177"/>
      <c r="E103" s="179"/>
      <c r="F103" s="169"/>
      <c r="G103" s="171">
        <v>7</v>
      </c>
      <c r="H103" s="171">
        <v>7</v>
      </c>
      <c r="I103" s="180" t="str">
        <f t="shared" si="2"/>
        <v>Nga_Fr_Lessons-007-007</v>
      </c>
      <c r="J103" s="173" t="str">
        <f t="shared" si="3"/>
        <v>Nga::Fr::Lessons::007</v>
      </c>
    </row>
    <row r="104" spans="1:10" ht="20.25" x14ac:dyDescent="0.3">
      <c r="A104" s="235" t="s">
        <v>657</v>
      </c>
      <c r="B104" s="243" t="s">
        <v>658</v>
      </c>
      <c r="C104" s="177" t="s">
        <v>659</v>
      </c>
      <c r="D104" s="177"/>
      <c r="E104" s="179"/>
      <c r="F104" s="169"/>
      <c r="G104" s="171">
        <v>7</v>
      </c>
      <c r="H104" s="171">
        <v>8</v>
      </c>
      <c r="I104" s="180" t="str">
        <f t="shared" si="2"/>
        <v>Nga_Fr_Lessons-007-008</v>
      </c>
      <c r="J104" s="173" t="str">
        <f t="shared" si="3"/>
        <v>Nga::Fr::Lessons::007</v>
      </c>
    </row>
    <row r="105" spans="1:10" ht="20.25" x14ac:dyDescent="0.3">
      <c r="A105" s="235" t="s">
        <v>660</v>
      </c>
      <c r="B105" s="243" t="s">
        <v>661</v>
      </c>
      <c r="C105" s="177" t="s">
        <v>662</v>
      </c>
      <c r="D105" s="177"/>
      <c r="E105" s="179"/>
      <c r="F105" s="169"/>
      <c r="G105" s="171">
        <v>7</v>
      </c>
      <c r="H105" s="171">
        <v>9</v>
      </c>
      <c r="I105" s="180" t="str">
        <f t="shared" si="2"/>
        <v>Nga_Fr_Lessons-007-009</v>
      </c>
      <c r="J105" s="173" t="str">
        <f t="shared" si="3"/>
        <v>Nga::Fr::Lessons::007</v>
      </c>
    </row>
    <row r="106" spans="1:10" ht="20.25" x14ac:dyDescent="0.3">
      <c r="A106" s="235" t="s">
        <v>663</v>
      </c>
      <c r="B106" s="243" t="s">
        <v>664</v>
      </c>
      <c r="C106" s="177" t="s">
        <v>665</v>
      </c>
      <c r="D106" s="177"/>
      <c r="E106" s="179"/>
      <c r="F106" s="169"/>
      <c r="G106" s="171">
        <v>7</v>
      </c>
      <c r="H106" s="171">
        <v>10</v>
      </c>
      <c r="I106" s="180" t="str">
        <f t="shared" si="2"/>
        <v>Nga_Fr_Lessons-007-010</v>
      </c>
      <c r="J106" s="173" t="str">
        <f t="shared" si="3"/>
        <v>Nga::Fr::Lessons::007</v>
      </c>
    </row>
    <row r="107" spans="1:10" ht="20.25" x14ac:dyDescent="0.3">
      <c r="A107" s="235" t="s">
        <v>666</v>
      </c>
      <c r="B107" s="243" t="s">
        <v>667</v>
      </c>
      <c r="C107" s="177" t="s">
        <v>668</v>
      </c>
      <c r="D107" s="177"/>
      <c r="E107" s="179"/>
      <c r="F107" s="169"/>
      <c r="G107" s="171">
        <v>7</v>
      </c>
      <c r="H107" s="171">
        <v>11</v>
      </c>
      <c r="I107" s="180" t="str">
        <f t="shared" si="2"/>
        <v>Nga_Fr_Lessons-007-011</v>
      </c>
      <c r="J107" s="173" t="str">
        <f t="shared" si="3"/>
        <v>Nga::Fr::Lessons::007</v>
      </c>
    </row>
    <row r="108" spans="1:10" ht="20.25" x14ac:dyDescent="0.3">
      <c r="A108" s="235" t="s">
        <v>381</v>
      </c>
      <c r="B108" s="243" t="s">
        <v>669</v>
      </c>
      <c r="C108" s="177" t="s">
        <v>670</v>
      </c>
      <c r="D108" s="177"/>
      <c r="E108" s="179"/>
      <c r="F108" s="174" t="s">
        <v>128</v>
      </c>
      <c r="G108" s="171">
        <v>7</v>
      </c>
      <c r="H108" s="171">
        <v>12</v>
      </c>
      <c r="I108" s="180" t="str">
        <f t="shared" si="2"/>
        <v>Nga_Fr_Lessons-007-012</v>
      </c>
      <c r="J108" s="173" t="str">
        <f t="shared" si="3"/>
        <v>Nga::Fr::Lessons::007</v>
      </c>
    </row>
    <row r="109" spans="1:10" ht="21" thickBot="1" x14ac:dyDescent="0.35">
      <c r="A109" s="235" t="s">
        <v>671</v>
      </c>
      <c r="B109" s="243" t="s">
        <v>672</v>
      </c>
      <c r="C109" s="177" t="s">
        <v>673</v>
      </c>
      <c r="D109" s="177"/>
      <c r="E109" s="179"/>
      <c r="F109" s="174" t="s">
        <v>128</v>
      </c>
      <c r="G109" s="171">
        <v>7</v>
      </c>
      <c r="H109" s="171">
        <v>13</v>
      </c>
      <c r="I109" s="180" t="str">
        <f t="shared" si="2"/>
        <v>Nga_Fr_Lessons-007-013</v>
      </c>
      <c r="J109" s="173" t="str">
        <f t="shared" si="3"/>
        <v>Nga::Fr::Lessons::007</v>
      </c>
    </row>
    <row r="110" spans="1:10" ht="20.25" x14ac:dyDescent="0.3">
      <c r="A110" s="239" t="s">
        <v>383</v>
      </c>
      <c r="B110" s="246" t="s">
        <v>674</v>
      </c>
      <c r="C110" s="189" t="s">
        <v>675</v>
      </c>
      <c r="D110" s="189"/>
      <c r="E110" s="175"/>
      <c r="F110" s="161"/>
      <c r="G110" s="163">
        <v>8</v>
      </c>
      <c r="H110" s="163">
        <v>1</v>
      </c>
      <c r="I110" s="176" t="str">
        <f t="shared" si="2"/>
        <v>Nga_Fr_Lessons-008-001</v>
      </c>
      <c r="J110" s="165" t="str">
        <f t="shared" si="3"/>
        <v>Nga::Fr::Lessons::008</v>
      </c>
    </row>
    <row r="111" spans="1:10" ht="20.25" x14ac:dyDescent="0.3">
      <c r="A111" s="235" t="s">
        <v>426</v>
      </c>
      <c r="B111" s="243" t="s">
        <v>676</v>
      </c>
      <c r="C111" s="177" t="s">
        <v>677</v>
      </c>
      <c r="D111" s="177"/>
      <c r="E111" s="179"/>
      <c r="F111" s="174" t="s">
        <v>606</v>
      </c>
      <c r="G111" s="171">
        <v>8</v>
      </c>
      <c r="H111" s="171">
        <v>2</v>
      </c>
      <c r="I111" s="180" t="str">
        <f t="shared" si="2"/>
        <v>Nga_Fr_Lessons-008-002</v>
      </c>
      <c r="J111" s="173" t="str">
        <f t="shared" si="3"/>
        <v>Nga::Fr::Lessons::008</v>
      </c>
    </row>
    <row r="112" spans="1:10" ht="20.25" x14ac:dyDescent="0.3">
      <c r="A112" s="235" t="s">
        <v>403</v>
      </c>
      <c r="B112" s="243" t="s">
        <v>678</v>
      </c>
      <c r="C112" s="177" t="s">
        <v>679</v>
      </c>
      <c r="D112" s="177"/>
      <c r="E112" s="179"/>
      <c r="F112" s="174" t="s">
        <v>606</v>
      </c>
      <c r="G112" s="171">
        <v>8</v>
      </c>
      <c r="H112" s="171">
        <v>3</v>
      </c>
      <c r="I112" s="180" t="str">
        <f t="shared" si="2"/>
        <v>Nga_Fr_Lessons-008-003</v>
      </c>
      <c r="J112" s="173" t="str">
        <f t="shared" si="3"/>
        <v>Nga::Fr::Lessons::008</v>
      </c>
    </row>
    <row r="113" spans="1:10" ht="20.25" x14ac:dyDescent="0.3">
      <c r="A113" s="235" t="s">
        <v>448</v>
      </c>
      <c r="B113" s="243" t="s">
        <v>680</v>
      </c>
      <c r="C113" s="177" t="s">
        <v>681</v>
      </c>
      <c r="D113" s="177"/>
      <c r="E113" s="179"/>
      <c r="F113" s="174" t="s">
        <v>128</v>
      </c>
      <c r="G113" s="171">
        <v>8</v>
      </c>
      <c r="H113" s="171">
        <v>4</v>
      </c>
      <c r="I113" s="180" t="str">
        <f t="shared" si="2"/>
        <v>Nga_Fr_Lessons-008-004</v>
      </c>
      <c r="J113" s="173" t="str">
        <f t="shared" si="3"/>
        <v>Nga::Fr::Lessons::008</v>
      </c>
    </row>
    <row r="114" spans="1:10" ht="20.25" x14ac:dyDescent="0.3">
      <c r="A114" s="235" t="s">
        <v>449</v>
      </c>
      <c r="B114" s="243" t="s">
        <v>682</v>
      </c>
      <c r="C114" s="177" t="s">
        <v>683</v>
      </c>
      <c r="D114" s="177"/>
      <c r="E114" s="179"/>
      <c r="F114" s="169"/>
      <c r="G114" s="171">
        <v>8</v>
      </c>
      <c r="H114" s="171">
        <v>5</v>
      </c>
      <c r="I114" s="180" t="str">
        <f t="shared" si="2"/>
        <v>Nga_Fr_Lessons-008-005</v>
      </c>
      <c r="J114" s="173" t="str">
        <f t="shared" si="3"/>
        <v>Nga::Fr::Lessons::008</v>
      </c>
    </row>
    <row r="115" spans="1:10" ht="20.25" x14ac:dyDescent="0.3">
      <c r="A115" s="235" t="s">
        <v>450</v>
      </c>
      <c r="B115" s="243" t="s">
        <v>684</v>
      </c>
      <c r="C115" s="177" t="s">
        <v>685</v>
      </c>
      <c r="D115" s="177"/>
      <c r="E115" s="179"/>
      <c r="F115" s="169"/>
      <c r="G115" s="171">
        <v>8</v>
      </c>
      <c r="H115" s="171">
        <v>6</v>
      </c>
      <c r="I115" s="180" t="str">
        <f t="shared" si="2"/>
        <v>Nga_Fr_Lessons-008-006</v>
      </c>
      <c r="J115" s="173" t="str">
        <f t="shared" si="3"/>
        <v>Nga::Fr::Lessons::008</v>
      </c>
    </row>
    <row r="116" spans="1:10" ht="20.25" x14ac:dyDescent="0.3">
      <c r="A116" s="235" t="s">
        <v>410</v>
      </c>
      <c r="B116" s="243" t="s">
        <v>686</v>
      </c>
      <c r="C116" s="177" t="s">
        <v>687</v>
      </c>
      <c r="D116" s="177"/>
      <c r="E116" s="179"/>
      <c r="F116" s="169"/>
      <c r="G116" s="171">
        <v>8</v>
      </c>
      <c r="H116" s="171">
        <v>7</v>
      </c>
      <c r="I116" s="180" t="str">
        <f t="shared" si="2"/>
        <v>Nga_Fr_Lessons-008-007</v>
      </c>
      <c r="J116" s="173" t="str">
        <f t="shared" si="3"/>
        <v>Nga::Fr::Lessons::008</v>
      </c>
    </row>
    <row r="117" spans="1:10" ht="20.25" x14ac:dyDescent="0.3">
      <c r="A117" s="235" t="s">
        <v>451</v>
      </c>
      <c r="B117" s="243" t="s">
        <v>688</v>
      </c>
      <c r="C117" s="177" t="s">
        <v>689</v>
      </c>
      <c r="D117" s="177"/>
      <c r="E117" s="179"/>
      <c r="F117" s="174" t="s">
        <v>128</v>
      </c>
      <c r="G117" s="171">
        <v>8</v>
      </c>
      <c r="H117" s="171">
        <v>8</v>
      </c>
      <c r="I117" s="180" t="str">
        <f t="shared" si="2"/>
        <v>Nga_Fr_Lessons-008-008</v>
      </c>
      <c r="J117" s="173" t="str">
        <f t="shared" si="3"/>
        <v>Nga::Fr::Lessons::008</v>
      </c>
    </row>
    <row r="118" spans="1:10" ht="20.25" x14ac:dyDescent="0.3">
      <c r="A118" s="235" t="s">
        <v>445</v>
      </c>
      <c r="B118" s="243" t="s">
        <v>690</v>
      </c>
      <c r="C118" s="177" t="s">
        <v>691</v>
      </c>
      <c r="D118" s="177"/>
      <c r="E118" s="179"/>
      <c r="F118" s="169"/>
      <c r="G118" s="171">
        <v>8</v>
      </c>
      <c r="H118" s="171">
        <v>9</v>
      </c>
      <c r="I118" s="180" t="str">
        <f t="shared" si="2"/>
        <v>Nga_Fr_Lessons-008-009</v>
      </c>
      <c r="J118" s="173" t="str">
        <f t="shared" si="3"/>
        <v>Nga::Fr::Lessons::008</v>
      </c>
    </row>
    <row r="119" spans="1:10" ht="20.25" x14ac:dyDescent="0.3">
      <c r="A119" s="235" t="s">
        <v>385</v>
      </c>
      <c r="B119" s="243" t="s">
        <v>692</v>
      </c>
      <c r="C119" s="177" t="s">
        <v>693</v>
      </c>
      <c r="D119" s="177"/>
      <c r="E119" s="179"/>
      <c r="F119" s="169"/>
      <c r="G119" s="171">
        <v>8</v>
      </c>
      <c r="H119" s="171">
        <v>10</v>
      </c>
      <c r="I119" s="180" t="str">
        <f t="shared" si="2"/>
        <v>Nga_Fr_Lessons-008-010</v>
      </c>
      <c r="J119" s="173" t="str">
        <f t="shared" si="3"/>
        <v>Nga::Fr::Lessons::008</v>
      </c>
    </row>
    <row r="120" spans="1:10" ht="20.25" x14ac:dyDescent="0.3">
      <c r="A120" s="235" t="s">
        <v>452</v>
      </c>
      <c r="B120" s="243" t="s">
        <v>694</v>
      </c>
      <c r="C120" s="177" t="s">
        <v>695</v>
      </c>
      <c r="D120" s="177"/>
      <c r="E120" s="179"/>
      <c r="F120" s="174" t="s">
        <v>128</v>
      </c>
      <c r="G120" s="171">
        <v>8</v>
      </c>
      <c r="H120" s="171">
        <v>11</v>
      </c>
      <c r="I120" s="180" t="str">
        <f t="shared" si="2"/>
        <v>Nga_Fr_Lessons-008-011</v>
      </c>
      <c r="J120" s="173" t="str">
        <f t="shared" si="3"/>
        <v>Nga::Fr::Lessons::008</v>
      </c>
    </row>
    <row r="121" spans="1:10" ht="20.25" x14ac:dyDescent="0.3">
      <c r="A121" s="235" t="s">
        <v>446</v>
      </c>
      <c r="B121" s="243" t="s">
        <v>696</v>
      </c>
      <c r="C121" s="177" t="s">
        <v>697</v>
      </c>
      <c r="D121" s="177"/>
      <c r="E121" s="179"/>
      <c r="F121" s="174" t="s">
        <v>128</v>
      </c>
      <c r="G121" s="171">
        <v>8</v>
      </c>
      <c r="H121" s="171">
        <v>12</v>
      </c>
      <c r="I121" s="180" t="str">
        <f t="shared" si="2"/>
        <v>Nga_Fr_Lessons-008-012</v>
      </c>
      <c r="J121" s="173" t="str">
        <f t="shared" si="3"/>
        <v>Nga::Fr::Lessons::008</v>
      </c>
    </row>
    <row r="122" spans="1:10" ht="20.25" x14ac:dyDescent="0.3">
      <c r="A122" s="235" t="s">
        <v>453</v>
      </c>
      <c r="B122" s="243" t="s">
        <v>776</v>
      </c>
      <c r="C122" s="177" t="s">
        <v>698</v>
      </c>
      <c r="D122" s="177"/>
      <c r="E122" s="179"/>
      <c r="F122" s="174" t="s">
        <v>128</v>
      </c>
      <c r="G122" s="171">
        <v>8</v>
      </c>
      <c r="H122" s="171">
        <v>13</v>
      </c>
      <c r="I122" s="180" t="str">
        <f t="shared" si="2"/>
        <v>Nga_Fr_Lessons-008-013</v>
      </c>
      <c r="J122" s="173" t="str">
        <f t="shared" si="3"/>
        <v>Nga::Fr::Lessons::008</v>
      </c>
    </row>
    <row r="123" spans="1:10" ht="20.25" x14ac:dyDescent="0.3">
      <c r="A123" s="235" t="s">
        <v>454</v>
      </c>
      <c r="B123" s="243" t="s">
        <v>699</v>
      </c>
      <c r="C123" s="177" t="s">
        <v>700</v>
      </c>
      <c r="D123" s="177"/>
      <c r="E123" s="179"/>
      <c r="F123" s="169"/>
      <c r="G123" s="171">
        <v>8</v>
      </c>
      <c r="H123" s="171">
        <v>14</v>
      </c>
      <c r="I123" s="180" t="str">
        <f t="shared" si="2"/>
        <v>Nga_Fr_Lessons-008-014</v>
      </c>
      <c r="J123" s="173" t="str">
        <f t="shared" si="3"/>
        <v>Nga::Fr::Lessons::008</v>
      </c>
    </row>
    <row r="124" spans="1:10" ht="20.25" x14ac:dyDescent="0.3">
      <c r="A124" s="235" t="s">
        <v>447</v>
      </c>
      <c r="B124" s="243" t="s">
        <v>701</v>
      </c>
      <c r="C124" s="177" t="s">
        <v>702</v>
      </c>
      <c r="D124" s="177"/>
      <c r="E124" s="179"/>
      <c r="F124" s="174" t="s">
        <v>703</v>
      </c>
      <c r="G124" s="171">
        <v>8</v>
      </c>
      <c r="H124" s="171">
        <v>15</v>
      </c>
      <c r="I124" s="180" t="str">
        <f t="shared" si="2"/>
        <v>Nga_Fr_Lessons-008-015</v>
      </c>
      <c r="J124" s="173" t="str">
        <f t="shared" si="3"/>
        <v>Nga::Fr::Lessons::008</v>
      </c>
    </row>
    <row r="125" spans="1:10" ht="21" thickBot="1" x14ac:dyDescent="0.35">
      <c r="A125" s="237" t="s">
        <v>432</v>
      </c>
      <c r="B125" s="245" t="s">
        <v>704</v>
      </c>
      <c r="C125" s="182" t="s">
        <v>705</v>
      </c>
      <c r="D125" s="182"/>
      <c r="E125" s="184"/>
      <c r="F125" s="191" t="s">
        <v>128</v>
      </c>
      <c r="G125" s="186">
        <v>8</v>
      </c>
      <c r="H125" s="186">
        <v>16</v>
      </c>
      <c r="I125" s="187" t="str">
        <f t="shared" si="2"/>
        <v>Nga_Fr_Lessons-008-016</v>
      </c>
      <c r="J125" s="188" t="str">
        <f t="shared" si="3"/>
        <v>Nga::Fr::Lessons::008</v>
      </c>
    </row>
    <row r="126" spans="1:10" ht="20.25" x14ac:dyDescent="0.3">
      <c r="A126" s="235" t="s">
        <v>708</v>
      </c>
      <c r="B126" s="236" t="s">
        <v>777</v>
      </c>
      <c r="C126" s="192" t="s">
        <v>810</v>
      </c>
      <c r="D126" s="177"/>
      <c r="E126" s="179"/>
      <c r="F126" s="174"/>
      <c r="G126" s="170">
        <v>9</v>
      </c>
      <c r="H126" s="171">
        <f>IF(G126=G125,H125+1,1)</f>
        <v>1</v>
      </c>
      <c r="I126" s="172" t="str">
        <f t="shared" si="2"/>
        <v>Nga_Fr_Lessons-009-001</v>
      </c>
      <c r="J126" s="173" t="str">
        <f t="shared" si="3"/>
        <v>Nga::Fr::Lessons::009</v>
      </c>
    </row>
    <row r="127" spans="1:10" ht="20.25" x14ac:dyDescent="0.3">
      <c r="A127" s="235" t="s">
        <v>780</v>
      </c>
      <c r="B127" s="236" t="s">
        <v>778</v>
      </c>
      <c r="C127" s="192" t="s">
        <v>811</v>
      </c>
      <c r="D127" s="177"/>
      <c r="E127" s="179"/>
      <c r="F127" s="174"/>
      <c r="G127" s="170">
        <v>9</v>
      </c>
      <c r="H127" s="171">
        <f t="shared" ref="H127:H146" si="4">IF(G127=G126,H126+1,1)</f>
        <v>2</v>
      </c>
      <c r="I127" s="172" t="str">
        <f t="shared" si="2"/>
        <v>Nga_Fr_Lessons-009-002</v>
      </c>
      <c r="J127" s="173" t="str">
        <f t="shared" si="3"/>
        <v>Nga::Fr::Lessons::009</v>
      </c>
    </row>
    <row r="128" spans="1:10" ht="20.25" x14ac:dyDescent="0.3">
      <c r="A128" s="235" t="s">
        <v>781</v>
      </c>
      <c r="B128" s="236" t="s">
        <v>779</v>
      </c>
      <c r="C128" s="192" t="s">
        <v>812</v>
      </c>
      <c r="D128" s="177"/>
      <c r="E128" s="179"/>
      <c r="F128" s="174" t="s">
        <v>128</v>
      </c>
      <c r="G128" s="170">
        <v>9</v>
      </c>
      <c r="H128" s="171">
        <f t="shared" si="4"/>
        <v>3</v>
      </c>
      <c r="I128" s="172" t="str">
        <f t="shared" si="2"/>
        <v>Nga_Fr_Lessons-009-003</v>
      </c>
      <c r="J128" s="173" t="str">
        <f t="shared" si="3"/>
        <v>Nga::Fr::Lessons::009</v>
      </c>
    </row>
    <row r="129" spans="1:10" ht="20.25" x14ac:dyDescent="0.3">
      <c r="A129" s="235" t="s">
        <v>782</v>
      </c>
      <c r="B129" s="236" t="s">
        <v>775</v>
      </c>
      <c r="C129" s="192" t="s">
        <v>813</v>
      </c>
      <c r="D129" s="177"/>
      <c r="E129" s="179"/>
      <c r="F129" s="174" t="s">
        <v>128</v>
      </c>
      <c r="G129" s="170">
        <v>9</v>
      </c>
      <c r="H129" s="171">
        <f t="shared" si="4"/>
        <v>4</v>
      </c>
      <c r="I129" s="172" t="str">
        <f t="shared" si="2"/>
        <v>Nga_Fr_Lessons-009-004</v>
      </c>
      <c r="J129" s="173" t="str">
        <f t="shared" si="3"/>
        <v>Nga::Fr::Lessons::009</v>
      </c>
    </row>
    <row r="130" spans="1:10" ht="20.25" x14ac:dyDescent="0.3">
      <c r="A130" s="235" t="s">
        <v>729</v>
      </c>
      <c r="B130" s="236" t="s">
        <v>790</v>
      </c>
      <c r="C130" s="192" t="s">
        <v>814</v>
      </c>
      <c r="D130" s="177"/>
      <c r="E130" s="179"/>
      <c r="F130" s="174" t="s">
        <v>128</v>
      </c>
      <c r="G130" s="170">
        <v>9</v>
      </c>
      <c r="H130" s="171">
        <f t="shared" si="4"/>
        <v>5</v>
      </c>
      <c r="I130" s="172" t="str">
        <f t="shared" si="2"/>
        <v>Nga_Fr_Lessons-009-005</v>
      </c>
      <c r="J130" s="173" t="str">
        <f t="shared" si="3"/>
        <v>Nga::Fr::Lessons::009</v>
      </c>
    </row>
    <row r="131" spans="1:10" ht="20.25" x14ac:dyDescent="0.3">
      <c r="A131" s="235" t="s">
        <v>792</v>
      </c>
      <c r="B131" s="236" t="s">
        <v>791</v>
      </c>
      <c r="C131" s="192" t="s">
        <v>815</v>
      </c>
      <c r="D131" s="177"/>
      <c r="E131" s="179"/>
      <c r="F131" s="174"/>
      <c r="G131" s="170">
        <v>9</v>
      </c>
      <c r="H131" s="171">
        <f t="shared" si="4"/>
        <v>6</v>
      </c>
      <c r="I131" s="172" t="str">
        <f t="shared" ref="I131:I146" si="5">"Nga_Fr_Lessons"&amp;"-"&amp;TEXT(G131,"000")&amp;"-"&amp;TEXT(H131,"000")</f>
        <v>Nga_Fr_Lessons-009-006</v>
      </c>
      <c r="J131" s="173" t="str">
        <f t="shared" ref="J131:J146" si="6">"Nga::Fr::Lessons"&amp;"::"&amp;TEXT(G131,"000")</f>
        <v>Nga::Fr::Lessons::009</v>
      </c>
    </row>
    <row r="132" spans="1:10" ht="20.25" x14ac:dyDescent="0.3">
      <c r="A132" s="235" t="s">
        <v>769</v>
      </c>
      <c r="B132" s="236" t="s">
        <v>793</v>
      </c>
      <c r="C132" s="192" t="s">
        <v>816</v>
      </c>
      <c r="D132" s="177"/>
      <c r="E132" s="179"/>
      <c r="F132" s="174" t="s">
        <v>794</v>
      </c>
      <c r="G132" s="170">
        <v>9</v>
      </c>
      <c r="H132" s="171">
        <f t="shared" si="4"/>
        <v>7</v>
      </c>
      <c r="I132" s="172" t="str">
        <f t="shared" si="5"/>
        <v>Nga_Fr_Lessons-009-007</v>
      </c>
      <c r="J132" s="173" t="str">
        <f t="shared" si="6"/>
        <v>Nga::Fr::Lessons::009</v>
      </c>
    </row>
    <row r="133" spans="1:10" ht="20.25" x14ac:dyDescent="0.3">
      <c r="A133" s="235" t="s">
        <v>796</v>
      </c>
      <c r="B133" s="236" t="s">
        <v>795</v>
      </c>
      <c r="C133" s="192" t="s">
        <v>817</v>
      </c>
      <c r="D133" s="177"/>
      <c r="E133" s="179"/>
      <c r="F133" s="174" t="s">
        <v>128</v>
      </c>
      <c r="G133" s="170">
        <v>9</v>
      </c>
      <c r="H133" s="171">
        <f t="shared" si="4"/>
        <v>8</v>
      </c>
      <c r="I133" s="172" t="str">
        <f t="shared" si="5"/>
        <v>Nga_Fr_Lessons-009-008</v>
      </c>
      <c r="J133" s="173" t="str">
        <f t="shared" si="6"/>
        <v>Nga::Fr::Lessons::009</v>
      </c>
    </row>
    <row r="134" spans="1:10" ht="20.25" x14ac:dyDescent="0.3">
      <c r="A134" s="235" t="s">
        <v>832</v>
      </c>
      <c r="B134" s="236" t="s">
        <v>797</v>
      </c>
      <c r="C134" s="192" t="s">
        <v>818</v>
      </c>
      <c r="D134" s="177"/>
      <c r="E134" s="179"/>
      <c r="F134" s="174" t="s">
        <v>128</v>
      </c>
      <c r="G134" s="170">
        <v>9</v>
      </c>
      <c r="H134" s="171">
        <f t="shared" si="4"/>
        <v>9</v>
      </c>
      <c r="I134" s="172" t="str">
        <f t="shared" si="5"/>
        <v>Nga_Fr_Lessons-009-009</v>
      </c>
      <c r="J134" s="173" t="str">
        <f t="shared" si="6"/>
        <v>Nga::Fr::Lessons::009</v>
      </c>
    </row>
    <row r="135" spans="1:10" ht="20.25" x14ac:dyDescent="0.3">
      <c r="A135" s="235" t="s">
        <v>728</v>
      </c>
      <c r="B135" s="236" t="s">
        <v>798</v>
      </c>
      <c r="C135" s="192" t="s">
        <v>819</v>
      </c>
      <c r="D135" s="177"/>
      <c r="E135" s="179"/>
      <c r="F135" s="174" t="s">
        <v>128</v>
      </c>
      <c r="G135" s="170">
        <v>9</v>
      </c>
      <c r="H135" s="171">
        <f t="shared" si="4"/>
        <v>10</v>
      </c>
      <c r="I135" s="172" t="str">
        <f t="shared" si="5"/>
        <v>Nga_Fr_Lessons-009-010</v>
      </c>
      <c r="J135" s="173" t="str">
        <f t="shared" si="6"/>
        <v>Nga::Fr::Lessons::009</v>
      </c>
    </row>
    <row r="136" spans="1:10" ht="20.25" x14ac:dyDescent="0.3">
      <c r="A136" s="235" t="s">
        <v>762</v>
      </c>
      <c r="B136" s="236" t="s">
        <v>799</v>
      </c>
      <c r="C136" s="192" t="s">
        <v>820</v>
      </c>
      <c r="D136" s="177"/>
      <c r="E136" s="179"/>
      <c r="F136" s="174"/>
      <c r="G136" s="170">
        <v>9</v>
      </c>
      <c r="H136" s="171">
        <f t="shared" si="4"/>
        <v>11</v>
      </c>
      <c r="I136" s="172" t="str">
        <f t="shared" si="5"/>
        <v>Nga_Fr_Lessons-009-011</v>
      </c>
      <c r="J136" s="173" t="str">
        <f t="shared" si="6"/>
        <v>Nga::Fr::Lessons::009</v>
      </c>
    </row>
    <row r="137" spans="1:10" ht="20.25" x14ac:dyDescent="0.3">
      <c r="A137" s="235" t="s">
        <v>784</v>
      </c>
      <c r="B137" s="236" t="s">
        <v>800</v>
      </c>
      <c r="C137" s="192" t="s">
        <v>821</v>
      </c>
      <c r="D137" s="177" t="s">
        <v>833</v>
      </c>
      <c r="E137" s="179"/>
      <c r="F137" s="174"/>
      <c r="G137" s="170">
        <v>9</v>
      </c>
      <c r="H137" s="171">
        <f t="shared" si="4"/>
        <v>12</v>
      </c>
      <c r="I137" s="172" t="str">
        <f t="shared" si="5"/>
        <v>Nga_Fr_Lessons-009-012</v>
      </c>
      <c r="J137" s="173" t="str">
        <f t="shared" si="6"/>
        <v>Nga::Fr::Lessons::009</v>
      </c>
    </row>
    <row r="138" spans="1:10" ht="20.25" x14ac:dyDescent="0.3">
      <c r="A138" s="235" t="s">
        <v>785</v>
      </c>
      <c r="B138" s="236" t="s">
        <v>801</v>
      </c>
      <c r="C138" s="192" t="s">
        <v>822</v>
      </c>
      <c r="D138" s="177" t="s">
        <v>834</v>
      </c>
      <c r="E138" s="179"/>
      <c r="F138" s="174"/>
      <c r="G138" s="170">
        <v>9</v>
      </c>
      <c r="H138" s="171">
        <f t="shared" si="4"/>
        <v>13</v>
      </c>
      <c r="I138" s="172" t="str">
        <f t="shared" si="5"/>
        <v>Nga_Fr_Lessons-009-013</v>
      </c>
      <c r="J138" s="173" t="str">
        <f t="shared" si="6"/>
        <v>Nga::Fr::Lessons::009</v>
      </c>
    </row>
    <row r="139" spans="1:10" ht="20.25" x14ac:dyDescent="0.3">
      <c r="A139" s="235" t="s">
        <v>786</v>
      </c>
      <c r="B139" s="236" t="s">
        <v>802</v>
      </c>
      <c r="C139" s="192" t="s">
        <v>823</v>
      </c>
      <c r="D139" s="177" t="s">
        <v>835</v>
      </c>
      <c r="E139" s="179"/>
      <c r="F139" s="174"/>
      <c r="G139" s="170">
        <v>9</v>
      </c>
      <c r="H139" s="171">
        <f t="shared" si="4"/>
        <v>14</v>
      </c>
      <c r="I139" s="172" t="str">
        <f t="shared" si="5"/>
        <v>Nga_Fr_Lessons-009-014</v>
      </c>
      <c r="J139" s="173" t="str">
        <f t="shared" si="6"/>
        <v>Nga::Fr::Lessons::009</v>
      </c>
    </row>
    <row r="140" spans="1:10" ht="20.25" x14ac:dyDescent="0.3">
      <c r="A140" s="235" t="s">
        <v>744</v>
      </c>
      <c r="B140" s="236" t="s">
        <v>803</v>
      </c>
      <c r="C140" s="192" t="s">
        <v>824</v>
      </c>
      <c r="D140" s="177"/>
      <c r="E140" s="179"/>
      <c r="F140" s="174"/>
      <c r="G140" s="170">
        <v>9</v>
      </c>
      <c r="H140" s="171">
        <f t="shared" si="4"/>
        <v>15</v>
      </c>
      <c r="I140" s="172" t="str">
        <f t="shared" si="5"/>
        <v>Nga_Fr_Lessons-009-015</v>
      </c>
      <c r="J140" s="173" t="str">
        <f t="shared" si="6"/>
        <v>Nga::Fr::Lessons::009</v>
      </c>
    </row>
    <row r="141" spans="1:10" ht="20.25" x14ac:dyDescent="0.3">
      <c r="A141" s="235" t="s">
        <v>831</v>
      </c>
      <c r="B141" s="236" t="s">
        <v>804</v>
      </c>
      <c r="C141" s="192" t="s">
        <v>825</v>
      </c>
      <c r="D141" s="177"/>
      <c r="E141" s="179"/>
      <c r="F141" s="174"/>
      <c r="G141" s="170">
        <v>9</v>
      </c>
      <c r="H141" s="171">
        <f t="shared" si="4"/>
        <v>16</v>
      </c>
      <c r="I141" s="172" t="str">
        <f t="shared" si="5"/>
        <v>Nga_Fr_Lessons-009-016</v>
      </c>
      <c r="J141" s="173" t="str">
        <f t="shared" si="6"/>
        <v>Nga::Fr::Lessons::009</v>
      </c>
    </row>
    <row r="142" spans="1:10" ht="20.25" x14ac:dyDescent="0.3">
      <c r="A142" s="235" t="s">
        <v>424</v>
      </c>
      <c r="B142" s="236" t="s">
        <v>805</v>
      </c>
      <c r="C142" s="192" t="s">
        <v>826</v>
      </c>
      <c r="D142" s="177"/>
      <c r="E142" s="179"/>
      <c r="F142" s="174"/>
      <c r="G142" s="170">
        <v>9</v>
      </c>
      <c r="H142" s="171">
        <f t="shared" si="4"/>
        <v>17</v>
      </c>
      <c r="I142" s="172" t="str">
        <f t="shared" si="5"/>
        <v>Nga_Fr_Lessons-009-017</v>
      </c>
      <c r="J142" s="173" t="str">
        <f t="shared" si="6"/>
        <v>Nga::Fr::Lessons::009</v>
      </c>
    </row>
    <row r="143" spans="1:10" ht="20.25" x14ac:dyDescent="0.3">
      <c r="A143" s="235" t="s">
        <v>787</v>
      </c>
      <c r="B143" s="236" t="s">
        <v>806</v>
      </c>
      <c r="C143" s="192" t="s">
        <v>827</v>
      </c>
      <c r="D143" s="177"/>
      <c r="E143" s="179"/>
      <c r="F143" s="174"/>
      <c r="G143" s="170">
        <v>9</v>
      </c>
      <c r="H143" s="171">
        <f t="shared" si="4"/>
        <v>18</v>
      </c>
      <c r="I143" s="172" t="str">
        <f t="shared" si="5"/>
        <v>Nga_Fr_Lessons-009-018</v>
      </c>
      <c r="J143" s="173" t="str">
        <f t="shared" si="6"/>
        <v>Nga::Fr::Lessons::009</v>
      </c>
    </row>
    <row r="144" spans="1:10" ht="20.25" x14ac:dyDescent="0.3">
      <c r="A144" s="235" t="s">
        <v>749</v>
      </c>
      <c r="B144" s="236" t="s">
        <v>807</v>
      </c>
      <c r="C144" s="192" t="s">
        <v>828</v>
      </c>
      <c r="D144" s="177"/>
      <c r="E144" s="179"/>
      <c r="F144" s="174" t="s">
        <v>128</v>
      </c>
      <c r="G144" s="170">
        <v>9</v>
      </c>
      <c r="H144" s="171">
        <f t="shared" si="4"/>
        <v>19</v>
      </c>
      <c r="I144" s="172" t="str">
        <f t="shared" si="5"/>
        <v>Nga_Fr_Lessons-009-019</v>
      </c>
      <c r="J144" s="173" t="str">
        <f t="shared" si="6"/>
        <v>Nga::Fr::Lessons::009</v>
      </c>
    </row>
    <row r="145" spans="1:10" ht="20.25" x14ac:dyDescent="0.3">
      <c r="A145" s="235" t="s">
        <v>788</v>
      </c>
      <c r="B145" s="236" t="s">
        <v>808</v>
      </c>
      <c r="C145" s="192" t="s">
        <v>829</v>
      </c>
      <c r="D145" s="177"/>
      <c r="E145" s="179"/>
      <c r="F145" s="174"/>
      <c r="G145" s="170">
        <v>9</v>
      </c>
      <c r="H145" s="171">
        <f t="shared" si="4"/>
        <v>20</v>
      </c>
      <c r="I145" s="172" t="str">
        <f t="shared" si="5"/>
        <v>Nga_Fr_Lessons-009-020</v>
      </c>
      <c r="J145" s="173" t="str">
        <f t="shared" si="6"/>
        <v>Nga::Fr::Lessons::009</v>
      </c>
    </row>
    <row r="146" spans="1:10" ht="21" thickBot="1" x14ac:dyDescent="0.35">
      <c r="A146" s="237" t="s">
        <v>789</v>
      </c>
      <c r="B146" s="238" t="s">
        <v>809</v>
      </c>
      <c r="C146" s="193" t="s">
        <v>830</v>
      </c>
      <c r="D146" s="182"/>
      <c r="E146" s="184"/>
      <c r="F146" s="191"/>
      <c r="G146" s="194">
        <v>9</v>
      </c>
      <c r="H146" s="186">
        <f t="shared" si="4"/>
        <v>21</v>
      </c>
      <c r="I146" s="195" t="str">
        <f t="shared" si="5"/>
        <v>Nga_Fr_Lessons-009-021</v>
      </c>
      <c r="J146" s="188" t="str">
        <f t="shared" si="6"/>
        <v>Nga::Fr::Lessons::009</v>
      </c>
    </row>
    <row r="147" spans="1:10" ht="20.25" x14ac:dyDescent="0.3">
      <c r="A147" s="235"/>
      <c r="B147" s="236"/>
      <c r="C147" s="192"/>
      <c r="D147" s="177"/>
      <c r="E147" s="179"/>
      <c r="F147" s="174"/>
      <c r="G147" s="170">
        <v>10</v>
      </c>
      <c r="H147" s="171">
        <f t="shared" ref="H147" si="7">IF(G147=G146,H146+1,1)</f>
        <v>1</v>
      </c>
      <c r="I147" s="172" t="str">
        <f t="shared" ref="I147" si="8">"Nga_Fr_Lessons"&amp;"-"&amp;TEXT(G147,"000")&amp;"-"&amp;TEXT(H147,"000")</f>
        <v>Nga_Fr_Lessons-010-001</v>
      </c>
      <c r="J147" s="173" t="str">
        <f t="shared" ref="J147" si="9">"Nga::Fr::Lessons"&amp;"::"&amp;TEXT(G147,"000")</f>
        <v>Nga::Fr::Lessons::010</v>
      </c>
    </row>
    <row r="148" spans="1:10" ht="20.25" x14ac:dyDescent="0.3">
      <c r="A148" s="235"/>
      <c r="B148" s="236"/>
      <c r="C148" s="192"/>
      <c r="D148" s="177"/>
      <c r="E148" s="179"/>
      <c r="F148" s="174"/>
      <c r="G148" s="170"/>
      <c r="H148" s="171"/>
      <c r="I148" s="172"/>
      <c r="J148" s="17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5176-EEAB-4D2C-982D-8C43277E25FB}">
  <dimension ref="A1:J126"/>
  <sheetViews>
    <sheetView zoomScale="80" zoomScaleNormal="80" workbookViewId="0">
      <selection activeCell="D19" sqref="D19"/>
    </sheetView>
  </sheetViews>
  <sheetFormatPr defaultRowHeight="15" x14ac:dyDescent="0.25"/>
  <cols>
    <col min="1" max="1" width="100.140625" style="134" bestFit="1" customWidth="1"/>
    <col min="2" max="2" width="74.5703125" customWidth="1"/>
    <col min="3" max="3" width="26.42578125" bestFit="1" customWidth="1"/>
    <col min="4" max="4" width="27.28515625" bestFit="1" customWidth="1"/>
    <col min="5" max="5" width="15.7109375" bestFit="1" customWidth="1"/>
    <col min="6" max="6" width="15" bestFit="1" customWidth="1"/>
    <col min="7" max="8" width="4.42578125" bestFit="1" customWidth="1"/>
    <col min="9" max="9" width="24.42578125" bestFit="1" customWidth="1"/>
    <col min="10" max="10" width="20.7109375" bestFit="1" customWidth="1"/>
    <col min="11" max="11" width="26.5703125" bestFit="1" customWidth="1"/>
    <col min="12" max="12" width="47.7109375" bestFit="1" customWidth="1"/>
    <col min="13" max="13" width="22.140625" bestFit="1" customWidth="1"/>
    <col min="14" max="14" width="46.7109375" bestFit="1" customWidth="1"/>
    <col min="15" max="15" width="50.85546875" bestFit="1" customWidth="1"/>
    <col min="16" max="16" width="36.85546875" bestFit="1" customWidth="1"/>
    <col min="17" max="17" width="35.7109375" bestFit="1" customWidth="1"/>
    <col min="18" max="18" width="49" bestFit="1" customWidth="1"/>
    <col min="19" max="19" width="39" bestFit="1" customWidth="1"/>
    <col min="20" max="20" width="14.42578125" bestFit="1" customWidth="1"/>
    <col min="21" max="21" width="8.28515625" bestFit="1" customWidth="1"/>
    <col min="22" max="22" width="42.42578125" bestFit="1" customWidth="1"/>
    <col min="23" max="23" width="22.140625" bestFit="1" customWidth="1"/>
    <col min="24" max="24" width="19.140625" bestFit="1" customWidth="1"/>
    <col min="25" max="25" width="25.5703125" bestFit="1" customWidth="1"/>
    <col min="26" max="26" width="16" bestFit="1" customWidth="1"/>
    <col min="27" max="27" width="23.28515625" bestFit="1" customWidth="1"/>
    <col min="28" max="28" width="12.7109375" bestFit="1" customWidth="1"/>
    <col min="29" max="29" width="22.140625" bestFit="1" customWidth="1"/>
    <col min="30" max="30" width="10.7109375" bestFit="1" customWidth="1"/>
    <col min="31" max="31" width="37.28515625" bestFit="1" customWidth="1"/>
    <col min="32" max="32" width="36.140625" bestFit="1" customWidth="1"/>
    <col min="33" max="33" width="69.7109375" bestFit="1" customWidth="1"/>
    <col min="34" max="34" width="35.85546875" bestFit="1" customWidth="1"/>
    <col min="35" max="35" width="25.5703125" bestFit="1" customWidth="1"/>
    <col min="36" max="36" width="6.28515625" bestFit="1" customWidth="1"/>
    <col min="37" max="37" width="7" bestFit="1" customWidth="1"/>
    <col min="38" max="38" width="43.85546875" bestFit="1" customWidth="1"/>
    <col min="39" max="39" width="24.5703125" bestFit="1" customWidth="1"/>
    <col min="40" max="40" width="35.42578125" bestFit="1" customWidth="1"/>
    <col min="41" max="41" width="28.85546875" bestFit="1" customWidth="1"/>
    <col min="42" max="42" width="39.28515625" bestFit="1" customWidth="1"/>
    <col min="43" max="43" width="34.7109375" bestFit="1" customWidth="1"/>
    <col min="44" max="44" width="31.42578125" bestFit="1" customWidth="1"/>
    <col min="45" max="45" width="16.5703125" bestFit="1" customWidth="1"/>
    <col min="46" max="46" width="30.85546875" bestFit="1" customWidth="1"/>
    <col min="47" max="47" width="24.42578125" bestFit="1" customWidth="1"/>
    <col min="48" max="48" width="27.42578125" bestFit="1" customWidth="1"/>
    <col min="49" max="49" width="14.28515625" bestFit="1" customWidth="1"/>
    <col min="50" max="50" width="22.5703125" bestFit="1" customWidth="1"/>
    <col min="51" max="51" width="15.7109375" bestFit="1" customWidth="1"/>
    <col min="52" max="52" width="19.28515625" bestFit="1" customWidth="1"/>
    <col min="53" max="53" width="22" bestFit="1" customWidth="1"/>
    <col min="54" max="54" width="12.42578125" bestFit="1" customWidth="1"/>
    <col min="55" max="55" width="13.140625" bestFit="1" customWidth="1"/>
    <col min="56" max="56" width="37.28515625" bestFit="1" customWidth="1"/>
    <col min="57" max="57" width="44.42578125" bestFit="1" customWidth="1"/>
    <col min="58" max="58" width="36.28515625" bestFit="1" customWidth="1"/>
    <col min="59" max="59" width="20.5703125" bestFit="1" customWidth="1"/>
    <col min="60" max="60" width="36.42578125" bestFit="1" customWidth="1"/>
    <col min="61" max="61" width="28.28515625" bestFit="1" customWidth="1"/>
    <col min="62" max="62" width="30.7109375" bestFit="1" customWidth="1"/>
    <col min="63" max="63" width="33.140625" bestFit="1" customWidth="1"/>
    <col min="64" max="64" width="33" bestFit="1" customWidth="1"/>
    <col min="65" max="65" width="20.140625" bestFit="1" customWidth="1"/>
    <col min="66" max="66" width="16.7109375" bestFit="1" customWidth="1"/>
    <col min="67" max="67" width="28.85546875" bestFit="1" customWidth="1"/>
    <col min="68" max="68" width="23.5703125" bestFit="1" customWidth="1"/>
    <col min="69" max="69" width="45.28515625" bestFit="1" customWidth="1"/>
    <col min="70" max="70" width="45.5703125" bestFit="1" customWidth="1"/>
    <col min="71" max="71" width="27" bestFit="1" customWidth="1"/>
    <col min="72" max="72" width="41" bestFit="1" customWidth="1"/>
    <col min="73" max="73" width="53.42578125" bestFit="1" customWidth="1"/>
    <col min="74" max="74" width="23.140625" bestFit="1" customWidth="1"/>
    <col min="75" max="75" width="49" bestFit="1" customWidth="1"/>
    <col min="76" max="76" width="49.5703125" bestFit="1" customWidth="1"/>
    <col min="77" max="77" width="40.140625" bestFit="1" customWidth="1"/>
    <col min="78" max="78" width="30.5703125" bestFit="1" customWidth="1"/>
    <col min="79" max="79" width="46.5703125" bestFit="1" customWidth="1"/>
    <col min="80" max="80" width="28" bestFit="1" customWidth="1"/>
    <col min="81" max="81" width="9.5703125" bestFit="1" customWidth="1"/>
    <col min="82" max="82" width="15.7109375" bestFit="1" customWidth="1"/>
    <col min="83" max="83" width="13.5703125" bestFit="1" customWidth="1"/>
    <col min="84" max="84" width="12.85546875" bestFit="1" customWidth="1"/>
    <col min="85" max="85" width="14.85546875" bestFit="1" customWidth="1"/>
    <col min="86" max="86" width="19.85546875" bestFit="1" customWidth="1"/>
    <col min="87" max="87" width="38.5703125" bestFit="1" customWidth="1"/>
    <col min="88" max="88" width="52.85546875" bestFit="1" customWidth="1"/>
    <col min="89" max="89" width="21.5703125" bestFit="1" customWidth="1"/>
    <col min="90" max="90" width="26.28515625" bestFit="1" customWidth="1"/>
    <col min="91" max="91" width="8.140625" bestFit="1" customWidth="1"/>
    <col min="92" max="92" width="11.42578125" bestFit="1" customWidth="1"/>
    <col min="93" max="93" width="11.5703125" bestFit="1" customWidth="1"/>
    <col min="94" max="94" width="50.85546875" bestFit="1" customWidth="1"/>
    <col min="95" max="95" width="9.28515625" bestFit="1" customWidth="1"/>
    <col min="96" max="96" width="17.85546875" bestFit="1" customWidth="1"/>
    <col min="97" max="97" width="12.7109375" bestFit="1" customWidth="1"/>
    <col min="98" max="98" width="21.140625" bestFit="1" customWidth="1"/>
    <col min="99" max="99" width="19.7109375" bestFit="1" customWidth="1"/>
    <col min="100" max="100" width="31.7109375" bestFit="1" customWidth="1"/>
    <col min="101" max="101" width="6.28515625" bestFit="1" customWidth="1"/>
    <col min="102" max="102" width="54.28515625" bestFit="1" customWidth="1"/>
    <col min="103" max="103" width="36.7109375" bestFit="1" customWidth="1"/>
    <col min="104" max="104" width="27.42578125" bestFit="1" customWidth="1"/>
    <col min="105" max="105" width="18.5703125" bestFit="1" customWidth="1"/>
    <col min="106" max="106" width="8.42578125" bestFit="1" customWidth="1"/>
    <col min="107" max="107" width="29.140625" bestFit="1" customWidth="1"/>
    <col min="108" max="108" width="7.140625" bestFit="1" customWidth="1"/>
    <col min="109" max="109" width="27.85546875" bestFit="1" customWidth="1"/>
    <col min="110" max="110" width="21" bestFit="1" customWidth="1"/>
    <col min="111" max="111" width="21.42578125" bestFit="1" customWidth="1"/>
    <col min="112" max="112" width="30.5703125" bestFit="1" customWidth="1"/>
    <col min="113" max="113" width="23.140625" bestFit="1" customWidth="1"/>
    <col min="114" max="114" width="33.42578125" bestFit="1" customWidth="1"/>
    <col min="115" max="115" width="24" bestFit="1" customWidth="1"/>
    <col min="116" max="116" width="6.140625" bestFit="1" customWidth="1"/>
    <col min="117" max="117" width="24.5703125" bestFit="1" customWidth="1"/>
    <col min="118" max="118" width="22" bestFit="1" customWidth="1"/>
    <col min="119" max="119" width="28.5703125" bestFit="1" customWidth="1"/>
    <col min="120" max="120" width="41.42578125" bestFit="1" customWidth="1"/>
    <col min="121" max="121" width="23.5703125" bestFit="1" customWidth="1"/>
    <col min="122" max="122" width="11.28515625" bestFit="1" customWidth="1"/>
    <col min="123" max="123" width="35.7109375" bestFit="1" customWidth="1"/>
    <col min="124" max="124" width="35" bestFit="1" customWidth="1"/>
    <col min="125" max="125" width="38.28515625" bestFit="1" customWidth="1"/>
    <col min="126" max="126" width="34.85546875" bestFit="1" customWidth="1"/>
    <col min="127" max="127" width="38.140625" bestFit="1" customWidth="1"/>
    <col min="128" max="128" width="26.140625" bestFit="1" customWidth="1"/>
    <col min="129" max="129" width="25.140625" bestFit="1" customWidth="1"/>
    <col min="130" max="130" width="26.140625" bestFit="1" customWidth="1"/>
    <col min="131" max="131" width="21.85546875" bestFit="1" customWidth="1"/>
    <col min="132" max="132" width="30.7109375" bestFit="1" customWidth="1"/>
    <col min="133" max="133" width="34" bestFit="1" customWidth="1"/>
    <col min="134" max="134" width="26.140625" bestFit="1" customWidth="1"/>
    <col min="135" max="135" width="28.5703125" bestFit="1" customWidth="1"/>
    <col min="136" max="136" width="47.140625" bestFit="1" customWidth="1"/>
    <col min="137" max="137" width="50.42578125" bestFit="1" customWidth="1"/>
    <col min="138" max="138" width="47.42578125" bestFit="1" customWidth="1"/>
    <col min="139" max="139" width="50.7109375" bestFit="1" customWidth="1"/>
    <col min="140" max="140" width="28.85546875" bestFit="1" customWidth="1"/>
    <col min="141" max="141" width="32" bestFit="1" customWidth="1"/>
    <col min="142" max="142" width="42.85546875" bestFit="1" customWidth="1"/>
    <col min="143" max="143" width="46" bestFit="1" customWidth="1"/>
    <col min="144" max="144" width="55.28515625" bestFit="1" customWidth="1"/>
    <col min="145" max="145" width="58.42578125" bestFit="1" customWidth="1"/>
    <col min="146" max="146" width="26.140625" bestFit="1" customWidth="1"/>
    <col min="147" max="147" width="28.140625" bestFit="1" customWidth="1"/>
    <col min="148" max="148" width="50.85546875" bestFit="1" customWidth="1"/>
    <col min="149" max="149" width="54" bestFit="1" customWidth="1"/>
    <col min="150" max="150" width="51.42578125" bestFit="1" customWidth="1"/>
    <col min="151" max="151" width="54.7109375" bestFit="1" customWidth="1"/>
    <col min="152" max="152" width="42" bestFit="1" customWidth="1"/>
    <col min="153" max="153" width="45.140625" bestFit="1" customWidth="1"/>
    <col min="154" max="154" width="32.42578125" bestFit="1" customWidth="1"/>
    <col min="155" max="155" width="35.5703125" bestFit="1" customWidth="1"/>
    <col min="156" max="156" width="48.42578125" bestFit="1" customWidth="1"/>
    <col min="157" max="157" width="51.5703125" bestFit="1" customWidth="1"/>
    <col min="158" max="158" width="29.85546875" bestFit="1" customWidth="1"/>
    <col min="159" max="159" width="33" bestFit="1" customWidth="1"/>
    <col min="160" max="160" width="26.140625" bestFit="1" customWidth="1"/>
    <col min="161" max="161" width="14.5703125" bestFit="1" customWidth="1"/>
    <col min="162" max="162" width="26.140625" bestFit="1" customWidth="1"/>
    <col min="163" max="163" width="20.7109375" bestFit="1" customWidth="1"/>
    <col min="164" max="164" width="26.140625" bestFit="1" customWidth="1"/>
    <col min="165" max="165" width="18.5703125" bestFit="1" customWidth="1"/>
    <col min="166" max="166" width="26.140625" bestFit="1" customWidth="1"/>
    <col min="167" max="167" width="18" bestFit="1" customWidth="1"/>
    <col min="168" max="168" width="26.140625" bestFit="1" customWidth="1"/>
    <col min="169" max="169" width="19.85546875" bestFit="1" customWidth="1"/>
    <col min="170" max="171" width="26.140625" bestFit="1" customWidth="1"/>
    <col min="172" max="172" width="24.85546875" bestFit="1" customWidth="1"/>
    <col min="173" max="173" width="40.42578125" bestFit="1" customWidth="1"/>
    <col min="174" max="174" width="43.5703125" bestFit="1" customWidth="1"/>
    <col min="175" max="175" width="54.7109375" bestFit="1" customWidth="1"/>
    <col min="176" max="176" width="57.85546875" bestFit="1" customWidth="1"/>
    <col min="177" max="177" width="26.140625" bestFit="1" customWidth="1"/>
    <col min="178" max="178" width="26.5703125" bestFit="1" customWidth="1"/>
    <col min="179" max="179" width="28.140625" bestFit="1" customWidth="1"/>
    <col min="180" max="180" width="31.28515625" bestFit="1" customWidth="1"/>
    <col min="181" max="181" width="26.140625" bestFit="1" customWidth="1"/>
    <col min="182" max="182" width="13.140625" bestFit="1" customWidth="1"/>
    <col min="183" max="183" width="26.140625" bestFit="1" customWidth="1"/>
    <col min="184" max="184" width="16.42578125" bestFit="1" customWidth="1"/>
    <col min="185" max="185" width="26.140625" bestFit="1" customWidth="1"/>
    <col min="186" max="186" width="16.5703125" bestFit="1" customWidth="1"/>
    <col min="187" max="187" width="52.7109375" bestFit="1" customWidth="1"/>
    <col min="188" max="188" width="55.85546875" bestFit="1" customWidth="1"/>
    <col min="189" max="189" width="26.140625" bestFit="1" customWidth="1"/>
    <col min="190" max="190" width="14.28515625" bestFit="1" customWidth="1"/>
    <col min="191" max="191" width="26.140625" bestFit="1" customWidth="1"/>
    <col min="192" max="192" width="22.85546875" bestFit="1" customWidth="1"/>
    <col min="193" max="193" width="26.140625" bestFit="1" customWidth="1"/>
    <col min="194" max="194" width="17.85546875" bestFit="1" customWidth="1"/>
    <col min="195" max="195" width="26.140625" bestFit="1" customWidth="1"/>
    <col min="196" max="196" width="26.28515625" bestFit="1" customWidth="1"/>
    <col min="197" max="197" width="26.140625" bestFit="1" customWidth="1"/>
    <col min="198" max="198" width="24.7109375" bestFit="1" customWidth="1"/>
    <col min="199" max="199" width="33.5703125" bestFit="1" customWidth="1"/>
    <col min="200" max="200" width="36.7109375" bestFit="1" customWidth="1"/>
    <col min="201" max="201" width="26.140625" bestFit="1" customWidth="1"/>
    <col min="202" max="202" width="11.140625" bestFit="1" customWidth="1"/>
    <col min="203" max="203" width="56.140625" bestFit="1" customWidth="1"/>
    <col min="204" max="204" width="59.42578125" bestFit="1" customWidth="1"/>
    <col min="205" max="205" width="38.5703125" bestFit="1" customWidth="1"/>
    <col min="206" max="206" width="41.7109375" bestFit="1" customWidth="1"/>
    <col min="207" max="207" width="29.28515625" bestFit="1" customWidth="1"/>
    <col min="208" max="208" width="32.42578125" bestFit="1" customWidth="1"/>
    <col min="209" max="209" width="26.140625" bestFit="1" customWidth="1"/>
    <col min="210" max="210" width="23.5703125" bestFit="1" customWidth="1"/>
    <col min="211" max="211" width="26.140625" bestFit="1" customWidth="1"/>
    <col min="212" max="212" width="13.42578125" bestFit="1" customWidth="1"/>
    <col min="213" max="213" width="31" bestFit="1" customWidth="1"/>
    <col min="214" max="214" width="34.28515625" bestFit="1" customWidth="1"/>
    <col min="215" max="215" width="26.140625" bestFit="1" customWidth="1"/>
    <col min="216" max="216" width="12" bestFit="1" customWidth="1"/>
    <col min="217" max="217" width="29.7109375" bestFit="1" customWidth="1"/>
    <col min="218" max="218" width="32.85546875" bestFit="1" customWidth="1"/>
    <col min="219" max="221" width="26.140625" bestFit="1" customWidth="1"/>
    <col min="222" max="222" width="26.42578125" bestFit="1" customWidth="1"/>
    <col min="223" max="223" width="32.42578125" bestFit="1" customWidth="1"/>
    <col min="224" max="224" width="35.5703125" bestFit="1" customWidth="1"/>
    <col min="225" max="225" width="26.140625" bestFit="1" customWidth="1"/>
    <col min="226" max="226" width="28.140625" bestFit="1" customWidth="1"/>
    <col min="227" max="227" width="35.28515625" bestFit="1" customWidth="1"/>
    <col min="228" max="228" width="38.5703125" bestFit="1" customWidth="1"/>
    <col min="229" max="229" width="26.140625" bestFit="1" customWidth="1"/>
    <col min="230" max="230" width="29" bestFit="1" customWidth="1"/>
    <col min="231" max="231" width="26.140625" bestFit="1" customWidth="1"/>
    <col min="232" max="232" width="11" bestFit="1" customWidth="1"/>
    <col min="233" max="233" width="26.42578125" bestFit="1" customWidth="1"/>
    <col min="234" max="234" width="29.7109375" bestFit="1" customWidth="1"/>
    <col min="235" max="235" width="26.140625" bestFit="1" customWidth="1"/>
    <col min="236" max="236" width="27" bestFit="1" customWidth="1"/>
    <col min="237" max="237" width="30.42578125" bestFit="1" customWidth="1"/>
    <col min="238" max="238" width="33.5703125" bestFit="1" customWidth="1"/>
    <col min="239" max="239" width="43.28515625" bestFit="1" customWidth="1"/>
    <col min="240" max="240" width="46.5703125" bestFit="1" customWidth="1"/>
    <col min="241" max="241" width="26.140625" bestFit="1" customWidth="1"/>
    <col min="242" max="242" width="28.5703125" bestFit="1" customWidth="1"/>
    <col min="243" max="243" width="11.28515625" bestFit="1" customWidth="1"/>
    <col min="244" max="244" width="20.7109375" bestFit="1" customWidth="1"/>
    <col min="245" max="245" width="28" bestFit="1" customWidth="1"/>
    <col min="246" max="246" width="31.140625" bestFit="1" customWidth="1"/>
    <col min="247" max="247" width="18.5703125" bestFit="1" customWidth="1"/>
    <col min="248" max="248" width="28" bestFit="1" customWidth="1"/>
    <col min="249" max="249" width="31.140625" bestFit="1" customWidth="1"/>
    <col min="250" max="250" width="18" bestFit="1" customWidth="1"/>
    <col min="251" max="251" width="28" bestFit="1" customWidth="1"/>
    <col min="252" max="252" width="31.140625" bestFit="1" customWidth="1"/>
    <col min="253" max="253" width="19.85546875" bestFit="1" customWidth="1"/>
    <col min="254" max="254" width="28" bestFit="1" customWidth="1"/>
    <col min="255" max="255" width="31.140625" bestFit="1" customWidth="1"/>
    <col min="256" max="256" width="28" bestFit="1" customWidth="1"/>
    <col min="257" max="257" width="31.140625" bestFit="1" customWidth="1"/>
    <col min="258" max="258" width="24.85546875" bestFit="1" customWidth="1"/>
    <col min="259" max="259" width="40.42578125" bestFit="1" customWidth="1"/>
    <col min="260" max="260" width="31.140625" bestFit="1" customWidth="1"/>
    <col min="261" max="261" width="43.5703125" bestFit="1" customWidth="1"/>
    <col min="262" max="262" width="54.7109375" bestFit="1" customWidth="1"/>
    <col min="263" max="263" width="31.140625" bestFit="1" customWidth="1"/>
    <col min="264" max="264" width="57.85546875" bestFit="1" customWidth="1"/>
    <col min="265" max="265" width="28" bestFit="1" customWidth="1"/>
    <col min="266" max="266" width="31.140625" bestFit="1" customWidth="1"/>
    <col min="267" max="267" width="26.5703125" bestFit="1" customWidth="1"/>
    <col min="268" max="268" width="28.140625" bestFit="1" customWidth="1"/>
    <col min="269" max="269" width="31.140625" bestFit="1" customWidth="1"/>
    <col min="270" max="270" width="31.28515625" bestFit="1" customWidth="1"/>
    <col min="271" max="271" width="28" bestFit="1" customWidth="1"/>
    <col min="272" max="272" width="31.140625" bestFit="1" customWidth="1"/>
    <col min="273" max="273" width="13.140625" bestFit="1" customWidth="1"/>
    <col min="274" max="274" width="28" bestFit="1" customWidth="1"/>
    <col min="275" max="275" width="31.140625" bestFit="1" customWidth="1"/>
    <col min="276" max="276" width="16.42578125" bestFit="1" customWidth="1"/>
    <col min="277" max="277" width="28" bestFit="1" customWidth="1"/>
    <col min="278" max="278" width="31.140625" bestFit="1" customWidth="1"/>
    <col min="279" max="279" width="16.5703125" bestFit="1" customWidth="1"/>
    <col min="280" max="280" width="52.7109375" bestFit="1" customWidth="1"/>
    <col min="281" max="281" width="31.140625" bestFit="1" customWidth="1"/>
    <col min="282" max="282" width="55.85546875" bestFit="1" customWidth="1"/>
    <col min="283" max="283" width="28" bestFit="1" customWidth="1"/>
    <col min="284" max="284" width="31.140625" bestFit="1" customWidth="1"/>
    <col min="285" max="285" width="14.28515625" bestFit="1" customWidth="1"/>
    <col min="286" max="286" width="28" bestFit="1" customWidth="1"/>
    <col min="287" max="287" width="31.140625" bestFit="1" customWidth="1"/>
    <col min="288" max="288" width="22.85546875" bestFit="1" customWidth="1"/>
    <col min="289" max="289" width="28" bestFit="1" customWidth="1"/>
    <col min="290" max="290" width="31.140625" bestFit="1" customWidth="1"/>
    <col min="291" max="291" width="17.85546875" bestFit="1" customWidth="1"/>
    <col min="292" max="292" width="28" bestFit="1" customWidth="1"/>
    <col min="293" max="293" width="31.140625" bestFit="1" customWidth="1"/>
    <col min="294" max="294" width="26.28515625" bestFit="1" customWidth="1"/>
    <col min="295" max="295" width="28" bestFit="1" customWidth="1"/>
    <col min="296" max="296" width="31.140625" bestFit="1" customWidth="1"/>
    <col min="297" max="297" width="24.7109375" bestFit="1" customWidth="1"/>
    <col min="298" max="298" width="33.5703125" bestFit="1" customWidth="1"/>
    <col min="299" max="299" width="31.140625" bestFit="1" customWidth="1"/>
    <col min="300" max="300" width="36.7109375" bestFit="1" customWidth="1"/>
    <col min="301" max="301" width="28" bestFit="1" customWidth="1"/>
    <col min="302" max="302" width="31.140625" bestFit="1" customWidth="1"/>
    <col min="303" max="303" width="11.140625" bestFit="1" customWidth="1"/>
    <col min="304" max="304" width="56.140625" bestFit="1" customWidth="1"/>
    <col min="305" max="305" width="31.140625" bestFit="1" customWidth="1"/>
    <col min="306" max="306" width="59.42578125" bestFit="1" customWidth="1"/>
    <col min="307" max="307" width="38.5703125" bestFit="1" customWidth="1"/>
    <col min="308" max="308" width="31.140625" bestFit="1" customWidth="1"/>
    <col min="309" max="309" width="41.7109375" bestFit="1" customWidth="1"/>
    <col min="310" max="310" width="29.28515625" bestFit="1" customWidth="1"/>
    <col min="311" max="311" width="31.140625" bestFit="1" customWidth="1"/>
    <col min="312" max="312" width="32.42578125" bestFit="1" customWidth="1"/>
    <col min="313" max="313" width="28" bestFit="1" customWidth="1"/>
    <col min="314" max="314" width="31.140625" bestFit="1" customWidth="1"/>
    <col min="315" max="315" width="23.5703125" bestFit="1" customWidth="1"/>
    <col min="316" max="316" width="28" bestFit="1" customWidth="1"/>
    <col min="317" max="317" width="31.140625" bestFit="1" customWidth="1"/>
    <col min="318" max="318" width="13.42578125" bestFit="1" customWidth="1"/>
    <col min="319" max="319" width="31" bestFit="1" customWidth="1"/>
    <col min="320" max="320" width="31.140625" bestFit="1" customWidth="1"/>
    <col min="321" max="321" width="34.28515625" bestFit="1" customWidth="1"/>
    <col min="322" max="322" width="28" bestFit="1" customWidth="1"/>
    <col min="323" max="323" width="31.140625" bestFit="1" customWidth="1"/>
    <col min="324" max="324" width="12" bestFit="1" customWidth="1"/>
    <col min="325" max="325" width="29.7109375" bestFit="1" customWidth="1"/>
    <col min="326" max="326" width="31.140625" bestFit="1" customWidth="1"/>
    <col min="327" max="327" width="32.85546875" bestFit="1" customWidth="1"/>
    <col min="328" max="328" width="28" bestFit="1" customWidth="1"/>
    <col min="329" max="329" width="31.140625" bestFit="1" customWidth="1"/>
    <col min="330" max="330" width="26.140625" bestFit="1" customWidth="1"/>
    <col min="331" max="331" width="28" bestFit="1" customWidth="1"/>
    <col min="332" max="332" width="31.140625" bestFit="1" customWidth="1"/>
    <col min="333" max="333" width="26.42578125" bestFit="1" customWidth="1"/>
    <col min="334" max="334" width="32.42578125" bestFit="1" customWidth="1"/>
    <col min="335" max="335" width="31.140625" bestFit="1" customWidth="1"/>
    <col min="336" max="336" width="35.5703125" bestFit="1" customWidth="1"/>
    <col min="337" max="337" width="28" bestFit="1" customWidth="1"/>
    <col min="338" max="338" width="31.140625" bestFit="1" customWidth="1"/>
    <col min="339" max="339" width="28.140625" bestFit="1" customWidth="1"/>
    <col min="340" max="340" width="35.28515625" bestFit="1" customWidth="1"/>
    <col min="341" max="341" width="31.140625" bestFit="1" customWidth="1"/>
    <col min="342" max="342" width="38.5703125" bestFit="1" customWidth="1"/>
    <col min="343" max="343" width="28" bestFit="1" customWidth="1"/>
    <col min="344" max="344" width="31.140625" bestFit="1" customWidth="1"/>
    <col min="345" max="345" width="29" bestFit="1" customWidth="1"/>
    <col min="346" max="346" width="28" bestFit="1" customWidth="1"/>
    <col min="347" max="347" width="31.140625" bestFit="1" customWidth="1"/>
    <col min="348" max="348" width="11" bestFit="1" customWidth="1"/>
    <col min="349" max="349" width="28" bestFit="1" customWidth="1"/>
    <col min="350" max="350" width="31.140625" bestFit="1" customWidth="1"/>
    <col min="351" max="351" width="29.7109375" bestFit="1" customWidth="1"/>
    <col min="352" max="352" width="28" bestFit="1" customWidth="1"/>
    <col min="353" max="353" width="31.140625" bestFit="1" customWidth="1"/>
    <col min="354" max="354" width="27" bestFit="1" customWidth="1"/>
    <col min="355" max="355" width="30.42578125" bestFit="1" customWidth="1"/>
    <col min="356" max="356" width="31.140625" bestFit="1" customWidth="1"/>
    <col min="357" max="357" width="33.5703125" bestFit="1" customWidth="1"/>
    <col min="358" max="358" width="43.28515625" bestFit="1" customWidth="1"/>
    <col min="359" max="359" width="31.140625" bestFit="1" customWidth="1"/>
    <col min="360" max="360" width="46.5703125" bestFit="1" customWidth="1"/>
    <col min="361" max="361" width="28" bestFit="1" customWidth="1"/>
    <col min="362" max="362" width="31.140625" bestFit="1" customWidth="1"/>
    <col min="363" max="363" width="28.5703125" bestFit="1" customWidth="1"/>
    <col min="364" max="364" width="11.28515625" bestFit="1" customWidth="1"/>
    <col min="365" max="365" width="28" bestFit="1" customWidth="1"/>
    <col min="366" max="366" width="12.140625" bestFit="1" customWidth="1"/>
    <col min="367" max="367" width="31.140625" bestFit="1" customWidth="1"/>
    <col min="368" max="368" width="16.42578125" bestFit="1" customWidth="1"/>
    <col min="369" max="369" width="28" bestFit="1" customWidth="1"/>
    <col min="370" max="370" width="12.140625" bestFit="1" customWidth="1"/>
    <col min="371" max="371" width="31.140625" bestFit="1" customWidth="1"/>
    <col min="372" max="372" width="16.5703125" bestFit="1" customWidth="1"/>
    <col min="373" max="373" width="52.7109375" bestFit="1" customWidth="1"/>
    <col min="374" max="374" width="12.140625" bestFit="1" customWidth="1"/>
    <col min="375" max="375" width="31.140625" bestFit="1" customWidth="1"/>
    <col min="376" max="376" width="55.85546875" bestFit="1" customWidth="1"/>
    <col min="377" max="377" width="28" bestFit="1" customWidth="1"/>
    <col min="378" max="378" width="12.140625" bestFit="1" customWidth="1"/>
    <col min="379" max="379" width="31.140625" bestFit="1" customWidth="1"/>
    <col min="380" max="380" width="14.28515625" bestFit="1" customWidth="1"/>
    <col min="381" max="381" width="28" bestFit="1" customWidth="1"/>
    <col min="382" max="382" width="12.140625" bestFit="1" customWidth="1"/>
    <col min="383" max="383" width="31.140625" bestFit="1" customWidth="1"/>
    <col min="384" max="384" width="22.85546875" bestFit="1" customWidth="1"/>
    <col min="385" max="385" width="28" bestFit="1" customWidth="1"/>
    <col min="386" max="386" width="12.140625" bestFit="1" customWidth="1"/>
    <col min="387" max="387" width="31.140625" bestFit="1" customWidth="1"/>
    <col min="388" max="388" width="17.85546875" bestFit="1" customWidth="1"/>
    <col min="389" max="389" width="28" bestFit="1" customWidth="1"/>
    <col min="390" max="390" width="12.140625" bestFit="1" customWidth="1"/>
    <col min="391" max="391" width="31.140625" bestFit="1" customWidth="1"/>
    <col min="392" max="392" width="26.28515625" bestFit="1" customWidth="1"/>
    <col min="393" max="393" width="28" bestFit="1" customWidth="1"/>
    <col min="394" max="394" width="12.140625" bestFit="1" customWidth="1"/>
    <col min="395" max="395" width="31.140625" bestFit="1" customWidth="1"/>
    <col min="396" max="396" width="24.7109375" bestFit="1" customWidth="1"/>
    <col min="397" max="397" width="33.5703125" bestFit="1" customWidth="1"/>
    <col min="398" max="398" width="12.140625" bestFit="1" customWidth="1"/>
    <col min="399" max="399" width="31.140625" bestFit="1" customWidth="1"/>
    <col min="400" max="400" width="36.7109375" bestFit="1" customWidth="1"/>
    <col min="401" max="401" width="28" bestFit="1" customWidth="1"/>
    <col min="402" max="402" width="12.140625" bestFit="1" customWidth="1"/>
    <col min="403" max="403" width="31.140625" bestFit="1" customWidth="1"/>
    <col min="404" max="404" width="11.140625" bestFit="1" customWidth="1"/>
    <col min="405" max="405" width="56.140625" bestFit="1" customWidth="1"/>
    <col min="406" max="406" width="12.140625" bestFit="1" customWidth="1"/>
    <col min="407" max="407" width="31.140625" bestFit="1" customWidth="1"/>
    <col min="408" max="408" width="59.42578125" bestFit="1" customWidth="1"/>
    <col min="409" max="409" width="38.5703125" bestFit="1" customWidth="1"/>
    <col min="410" max="410" width="12.140625" bestFit="1" customWidth="1"/>
    <col min="411" max="411" width="31.140625" bestFit="1" customWidth="1"/>
    <col min="412" max="412" width="41.7109375" bestFit="1" customWidth="1"/>
    <col min="413" max="413" width="29.28515625" bestFit="1" customWidth="1"/>
    <col min="414" max="414" width="12.140625" bestFit="1" customWidth="1"/>
    <col min="415" max="415" width="31.140625" bestFit="1" customWidth="1"/>
    <col min="416" max="416" width="32.42578125" bestFit="1" customWidth="1"/>
    <col min="417" max="417" width="28" bestFit="1" customWidth="1"/>
    <col min="418" max="418" width="12.140625" bestFit="1" customWidth="1"/>
    <col min="419" max="419" width="31.140625" bestFit="1" customWidth="1"/>
    <col min="420" max="420" width="23.5703125" bestFit="1" customWidth="1"/>
    <col min="421" max="421" width="28" bestFit="1" customWidth="1"/>
    <col min="422" max="422" width="12.140625" bestFit="1" customWidth="1"/>
    <col min="423" max="423" width="31.140625" bestFit="1" customWidth="1"/>
    <col min="424" max="424" width="13.42578125" bestFit="1" customWidth="1"/>
    <col min="425" max="425" width="31" bestFit="1" customWidth="1"/>
    <col min="426" max="426" width="12.140625" bestFit="1" customWidth="1"/>
    <col min="427" max="427" width="31.140625" bestFit="1" customWidth="1"/>
    <col min="428" max="428" width="34.28515625" bestFit="1" customWidth="1"/>
    <col min="429" max="429" width="28" bestFit="1" customWidth="1"/>
    <col min="430" max="430" width="12.140625" bestFit="1" customWidth="1"/>
    <col min="431" max="431" width="31.140625" bestFit="1" customWidth="1"/>
    <col min="432" max="432" width="12" bestFit="1" customWidth="1"/>
    <col min="433" max="433" width="29.7109375" bestFit="1" customWidth="1"/>
    <col min="434" max="434" width="12.140625" bestFit="1" customWidth="1"/>
    <col min="435" max="435" width="31.140625" bestFit="1" customWidth="1"/>
    <col min="436" max="436" width="32.85546875" bestFit="1" customWidth="1"/>
    <col min="437" max="437" width="28" bestFit="1" customWidth="1"/>
    <col min="438" max="438" width="12.140625" bestFit="1" customWidth="1"/>
    <col min="439" max="439" width="31.140625" bestFit="1" customWidth="1"/>
    <col min="440" max="440" width="26.140625" bestFit="1" customWidth="1"/>
    <col min="441" max="441" width="28" bestFit="1" customWidth="1"/>
    <col min="442" max="443" width="31.140625" bestFit="1" customWidth="1"/>
    <col min="444" max="444" width="26.42578125" bestFit="1" customWidth="1"/>
    <col min="445" max="445" width="32.42578125" bestFit="1" customWidth="1"/>
    <col min="446" max="446" width="12.140625" bestFit="1" customWidth="1"/>
    <col min="447" max="447" width="31.140625" bestFit="1" customWidth="1"/>
    <col min="448" max="448" width="35.5703125" bestFit="1" customWidth="1"/>
    <col min="449" max="449" width="28" bestFit="1" customWidth="1"/>
    <col min="450" max="450" width="12.140625" bestFit="1" customWidth="1"/>
    <col min="451" max="451" width="31.140625" bestFit="1" customWidth="1"/>
    <col min="452" max="452" width="28.140625" bestFit="1" customWidth="1"/>
    <col min="453" max="453" width="35.28515625" bestFit="1" customWidth="1"/>
    <col min="454" max="454" width="12.140625" bestFit="1" customWidth="1"/>
    <col min="455" max="455" width="31.140625" bestFit="1" customWidth="1"/>
    <col min="456" max="456" width="38.5703125" bestFit="1" customWidth="1"/>
    <col min="457" max="457" width="28" bestFit="1" customWidth="1"/>
    <col min="458" max="458" width="12.140625" bestFit="1" customWidth="1"/>
    <col min="459" max="459" width="31.140625" bestFit="1" customWidth="1"/>
    <col min="460" max="460" width="29" bestFit="1" customWidth="1"/>
    <col min="461" max="461" width="28" bestFit="1" customWidth="1"/>
    <col min="462" max="462" width="12.140625" bestFit="1" customWidth="1"/>
    <col min="463" max="463" width="31.140625" bestFit="1" customWidth="1"/>
    <col min="464" max="464" width="11" bestFit="1" customWidth="1"/>
    <col min="465" max="465" width="28" bestFit="1" customWidth="1"/>
    <col min="466" max="466" width="12.140625" bestFit="1" customWidth="1"/>
    <col min="467" max="467" width="31.140625" bestFit="1" customWidth="1"/>
    <col min="468" max="468" width="29.7109375" bestFit="1" customWidth="1"/>
    <col min="469" max="469" width="28" bestFit="1" customWidth="1"/>
    <col min="470" max="470" width="12.140625" bestFit="1" customWidth="1"/>
    <col min="471" max="471" width="31.140625" bestFit="1" customWidth="1"/>
    <col min="472" max="472" width="27" bestFit="1" customWidth="1"/>
    <col min="473" max="473" width="30.42578125" bestFit="1" customWidth="1"/>
    <col min="474" max="474" width="12.140625" bestFit="1" customWidth="1"/>
    <col min="475" max="475" width="31.140625" bestFit="1" customWidth="1"/>
    <col min="476" max="476" width="33.5703125" bestFit="1" customWidth="1"/>
    <col min="477" max="477" width="43.28515625" bestFit="1" customWidth="1"/>
    <col min="478" max="478" width="12.140625" bestFit="1" customWidth="1"/>
    <col min="479" max="479" width="31.140625" bestFit="1" customWidth="1"/>
    <col min="480" max="480" width="46.5703125" bestFit="1" customWidth="1"/>
    <col min="481" max="481" width="28" bestFit="1" customWidth="1"/>
    <col min="482" max="482" width="12.140625" bestFit="1" customWidth="1"/>
    <col min="483" max="483" width="31.140625" bestFit="1" customWidth="1"/>
    <col min="484" max="484" width="28.5703125" bestFit="1" customWidth="1"/>
    <col min="485" max="485" width="11.28515625" bestFit="1" customWidth="1"/>
    <col min="486" max="486" width="28" bestFit="1" customWidth="1"/>
    <col min="487" max="488" width="12.140625" bestFit="1" customWidth="1"/>
    <col min="489" max="489" width="31.140625" bestFit="1" customWidth="1"/>
    <col min="490" max="490" width="26.28515625" bestFit="1" customWidth="1"/>
    <col min="491" max="491" width="28" bestFit="1" customWidth="1"/>
    <col min="492" max="493" width="12.140625" bestFit="1" customWidth="1"/>
    <col min="494" max="494" width="31.140625" bestFit="1" customWidth="1"/>
    <col min="495" max="495" width="24.7109375" bestFit="1" customWidth="1"/>
    <col min="496" max="496" width="33.5703125" bestFit="1" customWidth="1"/>
    <col min="497" max="498" width="12.140625" bestFit="1" customWidth="1"/>
    <col min="499" max="499" width="31.140625" bestFit="1" customWidth="1"/>
    <col min="500" max="500" width="36.7109375" bestFit="1" customWidth="1"/>
    <col min="501" max="501" width="28" bestFit="1" customWidth="1"/>
    <col min="502" max="503" width="12.140625" bestFit="1" customWidth="1"/>
    <col min="504" max="504" width="31.140625" bestFit="1" customWidth="1"/>
    <col min="505" max="505" width="11.140625" bestFit="1" customWidth="1"/>
    <col min="506" max="506" width="56.140625" bestFit="1" customWidth="1"/>
    <col min="507" max="508" width="12.140625" bestFit="1" customWidth="1"/>
    <col min="509" max="509" width="31.140625" bestFit="1" customWidth="1"/>
    <col min="510" max="510" width="59.42578125" bestFit="1" customWidth="1"/>
    <col min="511" max="511" width="38.5703125" bestFit="1" customWidth="1"/>
    <col min="512" max="513" width="12.140625" bestFit="1" customWidth="1"/>
    <col min="514" max="514" width="31.140625" bestFit="1" customWidth="1"/>
    <col min="515" max="515" width="41.7109375" bestFit="1" customWidth="1"/>
    <col min="516" max="516" width="29.28515625" bestFit="1" customWidth="1"/>
    <col min="517" max="518" width="12.140625" bestFit="1" customWidth="1"/>
    <col min="519" max="519" width="31.140625" bestFit="1" customWidth="1"/>
    <col min="520" max="520" width="32.42578125" bestFit="1" customWidth="1"/>
    <col min="521" max="521" width="28" bestFit="1" customWidth="1"/>
    <col min="522" max="523" width="12.140625" bestFit="1" customWidth="1"/>
    <col min="524" max="524" width="31.140625" bestFit="1" customWidth="1"/>
    <col min="525" max="525" width="23.5703125" bestFit="1" customWidth="1"/>
    <col min="526" max="526" width="28" bestFit="1" customWidth="1"/>
    <col min="527" max="528" width="12.140625" bestFit="1" customWidth="1"/>
    <col min="529" max="529" width="31.140625" bestFit="1" customWidth="1"/>
    <col min="530" max="530" width="13.42578125" bestFit="1" customWidth="1"/>
    <col min="531" max="531" width="31" bestFit="1" customWidth="1"/>
    <col min="532" max="533" width="12.140625" bestFit="1" customWidth="1"/>
    <col min="534" max="534" width="31.140625" bestFit="1" customWidth="1"/>
    <col min="535" max="535" width="34.28515625" bestFit="1" customWidth="1"/>
    <col min="536" max="536" width="28" bestFit="1" customWidth="1"/>
    <col min="537" max="538" width="12.140625" bestFit="1" customWidth="1"/>
    <col min="539" max="539" width="31.140625" bestFit="1" customWidth="1"/>
    <col min="540" max="540" width="12" bestFit="1" customWidth="1"/>
    <col min="541" max="541" width="29.7109375" bestFit="1" customWidth="1"/>
    <col min="542" max="543" width="12.140625" bestFit="1" customWidth="1"/>
    <col min="544" max="544" width="31.140625" bestFit="1" customWidth="1"/>
    <col min="545" max="545" width="32.85546875" bestFit="1" customWidth="1"/>
    <col min="546" max="546" width="28" bestFit="1" customWidth="1"/>
    <col min="547" max="548" width="12.140625" bestFit="1" customWidth="1"/>
    <col min="549" max="549" width="31.140625" bestFit="1" customWidth="1"/>
    <col min="550" max="550" width="26.140625" bestFit="1" customWidth="1"/>
    <col min="551" max="551" width="28" bestFit="1" customWidth="1"/>
    <col min="552" max="552" width="12.140625" bestFit="1" customWidth="1"/>
    <col min="553" max="554" width="31.140625" bestFit="1" customWidth="1"/>
    <col min="555" max="555" width="26.42578125" bestFit="1" customWidth="1"/>
    <col min="556" max="556" width="32.42578125" bestFit="1" customWidth="1"/>
    <col min="557" max="558" width="12.140625" bestFit="1" customWidth="1"/>
    <col min="559" max="559" width="31.140625" bestFit="1" customWidth="1"/>
    <col min="560" max="560" width="35.5703125" bestFit="1" customWidth="1"/>
    <col min="561" max="561" width="28" bestFit="1" customWidth="1"/>
    <col min="562" max="563" width="12.140625" bestFit="1" customWidth="1"/>
    <col min="564" max="564" width="31.140625" bestFit="1" customWidth="1"/>
    <col min="565" max="565" width="28.140625" bestFit="1" customWidth="1"/>
    <col min="566" max="566" width="35.28515625" bestFit="1" customWidth="1"/>
    <col min="567" max="568" width="12.140625" bestFit="1" customWidth="1"/>
    <col min="569" max="569" width="31.140625" bestFit="1" customWidth="1"/>
    <col min="570" max="570" width="38.5703125" bestFit="1" customWidth="1"/>
    <col min="571" max="571" width="28" bestFit="1" customWidth="1"/>
    <col min="572" max="573" width="12.140625" bestFit="1" customWidth="1"/>
    <col min="574" max="574" width="31.140625" bestFit="1" customWidth="1"/>
    <col min="575" max="575" width="29" bestFit="1" customWidth="1"/>
    <col min="576" max="576" width="28" bestFit="1" customWidth="1"/>
    <col min="577" max="578" width="12.140625" bestFit="1" customWidth="1"/>
    <col min="579" max="579" width="31.140625" bestFit="1" customWidth="1"/>
    <col min="580" max="580" width="11" bestFit="1" customWidth="1"/>
    <col min="581" max="581" width="28" bestFit="1" customWidth="1"/>
    <col min="582" max="583" width="12.140625" bestFit="1" customWidth="1"/>
    <col min="584" max="584" width="31.140625" bestFit="1" customWidth="1"/>
    <col min="585" max="585" width="29.7109375" bestFit="1" customWidth="1"/>
    <col min="586" max="586" width="28" bestFit="1" customWidth="1"/>
    <col min="587" max="588" width="12.140625" bestFit="1" customWidth="1"/>
    <col min="589" max="589" width="31.140625" bestFit="1" customWidth="1"/>
    <col min="590" max="590" width="27" bestFit="1" customWidth="1"/>
    <col min="591" max="591" width="30.42578125" bestFit="1" customWidth="1"/>
    <col min="592" max="593" width="12.140625" bestFit="1" customWidth="1"/>
    <col min="594" max="594" width="31.140625" bestFit="1" customWidth="1"/>
    <col min="595" max="595" width="33.5703125" bestFit="1" customWidth="1"/>
    <col min="596" max="596" width="43.28515625" bestFit="1" customWidth="1"/>
    <col min="597" max="598" width="12.140625" bestFit="1" customWidth="1"/>
    <col min="599" max="599" width="31.140625" bestFit="1" customWidth="1"/>
    <col min="600" max="600" width="46.5703125" bestFit="1" customWidth="1"/>
    <col min="601" max="601" width="28" bestFit="1" customWidth="1"/>
    <col min="602" max="603" width="12.140625" bestFit="1" customWidth="1"/>
    <col min="604" max="604" width="31.140625" bestFit="1" customWidth="1"/>
    <col min="605" max="605" width="28.5703125" bestFit="1" customWidth="1"/>
    <col min="606" max="606" width="11.28515625" bestFit="1" customWidth="1"/>
    <col min="607" max="607" width="56.140625" bestFit="1" customWidth="1"/>
    <col min="608" max="608" width="10.42578125" bestFit="1" customWidth="1"/>
    <col min="609" max="610" width="12.140625" bestFit="1" customWidth="1"/>
    <col min="611" max="611" width="31.140625" bestFit="1" customWidth="1"/>
    <col min="612" max="612" width="59.42578125" bestFit="1" customWidth="1"/>
    <col min="613" max="613" width="38.5703125" bestFit="1" customWidth="1"/>
    <col min="614" max="614" width="10.42578125" bestFit="1" customWidth="1"/>
    <col min="615" max="616" width="12.140625" bestFit="1" customWidth="1"/>
    <col min="617" max="617" width="31.140625" bestFit="1" customWidth="1"/>
    <col min="618" max="618" width="41.7109375" bestFit="1" customWidth="1"/>
    <col min="619" max="619" width="29.28515625" bestFit="1" customWidth="1"/>
    <col min="620" max="622" width="12.140625" bestFit="1" customWidth="1"/>
    <col min="623" max="623" width="31.140625" bestFit="1" customWidth="1"/>
    <col min="624" max="624" width="32.42578125" bestFit="1" customWidth="1"/>
    <col min="625" max="625" width="28" bestFit="1" customWidth="1"/>
    <col min="626" max="628" width="12.140625" bestFit="1" customWidth="1"/>
    <col min="629" max="629" width="31.140625" bestFit="1" customWidth="1"/>
    <col min="630" max="630" width="23.5703125" bestFit="1" customWidth="1"/>
    <col min="631" max="631" width="28" bestFit="1" customWidth="1"/>
    <col min="632" max="634" width="12.140625" bestFit="1" customWidth="1"/>
    <col min="635" max="635" width="31.140625" bestFit="1" customWidth="1"/>
    <col min="636" max="636" width="13.42578125" bestFit="1" customWidth="1"/>
    <col min="637" max="637" width="31" bestFit="1" customWidth="1"/>
    <col min="638" max="638" width="10" bestFit="1" customWidth="1"/>
    <col min="639" max="640" width="12.140625" bestFit="1" customWidth="1"/>
    <col min="641" max="641" width="31.140625" bestFit="1" customWidth="1"/>
    <col min="642" max="642" width="34.28515625" bestFit="1" customWidth="1"/>
    <col min="643" max="643" width="28" bestFit="1" customWidth="1"/>
    <col min="644" max="646" width="12.140625" bestFit="1" customWidth="1"/>
    <col min="647" max="647" width="31.140625" bestFit="1" customWidth="1"/>
    <col min="648" max="648" width="12" bestFit="1" customWidth="1"/>
    <col min="649" max="649" width="29.7109375" bestFit="1" customWidth="1"/>
    <col min="650" max="650" width="8.140625" bestFit="1" customWidth="1"/>
    <col min="651" max="652" width="12.140625" bestFit="1" customWidth="1"/>
    <col min="653" max="653" width="31.140625" bestFit="1" customWidth="1"/>
    <col min="654" max="654" width="32.85546875" bestFit="1" customWidth="1"/>
    <col min="655" max="655" width="28" bestFit="1" customWidth="1"/>
    <col min="656" max="656" width="8.140625" bestFit="1" customWidth="1"/>
    <col min="657" max="658" width="12.140625" bestFit="1" customWidth="1"/>
    <col min="659" max="659" width="31.140625" bestFit="1" customWidth="1"/>
    <col min="660" max="660" width="26.140625" bestFit="1" customWidth="1"/>
    <col min="661" max="661" width="28" bestFit="1" customWidth="1"/>
    <col min="662" max="662" width="8.140625" bestFit="1" customWidth="1"/>
    <col min="663" max="663" width="12.140625" bestFit="1" customWidth="1"/>
    <col min="664" max="665" width="31.140625" bestFit="1" customWidth="1"/>
    <col min="666" max="666" width="26.42578125" bestFit="1" customWidth="1"/>
    <col min="667" max="667" width="32.42578125" bestFit="1" customWidth="1"/>
    <col min="668" max="668" width="7.7109375" bestFit="1" customWidth="1"/>
    <col min="669" max="670" width="12.140625" bestFit="1" customWidth="1"/>
    <col min="671" max="671" width="31.140625" bestFit="1" customWidth="1"/>
    <col min="672" max="672" width="35.5703125" bestFit="1" customWidth="1"/>
    <col min="673" max="673" width="28" bestFit="1" customWidth="1"/>
    <col min="674" max="676" width="12.140625" bestFit="1" customWidth="1"/>
    <col min="677" max="677" width="31.140625" bestFit="1" customWidth="1"/>
    <col min="678" max="678" width="28.140625" bestFit="1" customWidth="1"/>
    <col min="679" max="679" width="35.28515625" bestFit="1" customWidth="1"/>
    <col min="680" max="682" width="12.140625" bestFit="1" customWidth="1"/>
    <col min="683" max="683" width="31.140625" bestFit="1" customWidth="1"/>
    <col min="684" max="684" width="38.5703125" bestFit="1" customWidth="1"/>
    <col min="685" max="685" width="28" bestFit="1" customWidth="1"/>
    <col min="686" max="686" width="10.42578125" bestFit="1" customWidth="1"/>
    <col min="687" max="688" width="12.140625" bestFit="1" customWidth="1"/>
    <col min="689" max="689" width="31.140625" bestFit="1" customWidth="1"/>
    <col min="690" max="690" width="29" bestFit="1" customWidth="1"/>
    <col min="691" max="691" width="28" bestFit="1" customWidth="1"/>
    <col min="692" max="694" width="12.140625" bestFit="1" customWidth="1"/>
    <col min="695" max="695" width="31.140625" bestFit="1" customWidth="1"/>
    <col min="696" max="696" width="11" bestFit="1" customWidth="1"/>
    <col min="697" max="697" width="28" bestFit="1" customWidth="1"/>
    <col min="698" max="698" width="7.7109375" bestFit="1" customWidth="1"/>
    <col min="699" max="700" width="12.140625" bestFit="1" customWidth="1"/>
    <col min="701" max="701" width="31.140625" bestFit="1" customWidth="1"/>
    <col min="702" max="702" width="29.7109375" bestFit="1" customWidth="1"/>
    <col min="703" max="703" width="28" bestFit="1" customWidth="1"/>
    <col min="704" max="704" width="7.7109375" bestFit="1" customWidth="1"/>
    <col min="705" max="706" width="12.140625" bestFit="1" customWidth="1"/>
    <col min="707" max="707" width="31.140625" bestFit="1" customWidth="1"/>
    <col min="708" max="708" width="27" bestFit="1" customWidth="1"/>
    <col min="709" max="709" width="30.42578125" bestFit="1" customWidth="1"/>
    <col min="710" max="710" width="7.7109375" bestFit="1" customWidth="1"/>
    <col min="711" max="712" width="12.140625" bestFit="1" customWidth="1"/>
    <col min="713" max="713" width="31.140625" bestFit="1" customWidth="1"/>
    <col min="714" max="714" width="33.5703125" bestFit="1" customWidth="1"/>
    <col min="715" max="715" width="43.28515625" bestFit="1" customWidth="1"/>
    <col min="716" max="716" width="7.7109375" bestFit="1" customWidth="1"/>
    <col min="717" max="718" width="12.140625" bestFit="1" customWidth="1"/>
    <col min="719" max="719" width="31.140625" bestFit="1" customWidth="1"/>
    <col min="720" max="720" width="46.5703125" bestFit="1" customWidth="1"/>
    <col min="721" max="721" width="28" bestFit="1" customWidth="1"/>
    <col min="722" max="724" width="12.140625" bestFit="1" customWidth="1"/>
    <col min="725" max="725" width="31.140625" bestFit="1" customWidth="1"/>
    <col min="726" max="726" width="28.5703125" bestFit="1" customWidth="1"/>
    <col min="727" max="727" width="11.28515625" bestFit="1" customWidth="1"/>
    <col min="728" max="728" width="32.42578125" bestFit="1" customWidth="1"/>
    <col min="729" max="729" width="28" bestFit="1" customWidth="1"/>
    <col min="730" max="730" width="6.85546875" bestFit="1" customWidth="1"/>
    <col min="731" max="733" width="12.140625" bestFit="1" customWidth="1"/>
    <col min="734" max="734" width="31.140625" bestFit="1" customWidth="1"/>
    <col min="735" max="735" width="23.5703125" bestFit="1" customWidth="1"/>
    <col min="736" max="736" width="28" bestFit="1" customWidth="1"/>
    <col min="737" max="737" width="6.85546875" bestFit="1" customWidth="1"/>
    <col min="738" max="740" width="12.140625" bestFit="1" customWidth="1"/>
    <col min="741" max="741" width="31.140625" bestFit="1" customWidth="1"/>
    <col min="742" max="742" width="13.42578125" bestFit="1" customWidth="1"/>
    <col min="743" max="743" width="31" bestFit="1" customWidth="1"/>
    <col min="744" max="744" width="6.85546875" bestFit="1" customWidth="1"/>
    <col min="745" max="745" width="10" bestFit="1" customWidth="1"/>
    <col min="746" max="747" width="12.140625" bestFit="1" customWidth="1"/>
    <col min="748" max="748" width="31.140625" bestFit="1" customWidth="1"/>
    <col min="749" max="749" width="34.28515625" bestFit="1" customWidth="1"/>
    <col min="750" max="750" width="28" bestFit="1" customWidth="1"/>
    <col min="751" max="751" width="6.85546875" bestFit="1" customWidth="1"/>
    <col min="752" max="754" width="12.140625" bestFit="1" customWidth="1"/>
    <col min="755" max="755" width="31.140625" bestFit="1" customWidth="1"/>
    <col min="756" max="756" width="12" bestFit="1" customWidth="1"/>
    <col min="757" max="757" width="29.7109375" bestFit="1" customWidth="1"/>
    <col min="758" max="758" width="6.85546875" bestFit="1" customWidth="1"/>
    <col min="759" max="759" width="8.140625" bestFit="1" customWidth="1"/>
    <col min="760" max="761" width="12.140625" bestFit="1" customWidth="1"/>
    <col min="762" max="762" width="31.140625" bestFit="1" customWidth="1"/>
    <col min="763" max="763" width="32.85546875" bestFit="1" customWidth="1"/>
    <col min="764" max="764" width="28" bestFit="1" customWidth="1"/>
    <col min="765" max="765" width="6.85546875" bestFit="1" customWidth="1"/>
    <col min="766" max="766" width="8.140625" bestFit="1" customWidth="1"/>
    <col min="767" max="768" width="12.140625" bestFit="1" customWidth="1"/>
    <col min="769" max="769" width="31.140625" bestFit="1" customWidth="1"/>
    <col min="770" max="770" width="26.140625" bestFit="1" customWidth="1"/>
    <col min="771" max="771" width="28" bestFit="1" customWidth="1"/>
    <col min="772" max="772" width="6.85546875" bestFit="1" customWidth="1"/>
    <col min="773" max="773" width="8.140625" bestFit="1" customWidth="1"/>
    <col min="774" max="774" width="12.140625" bestFit="1" customWidth="1"/>
    <col min="775" max="776" width="31.140625" bestFit="1" customWidth="1"/>
    <col min="777" max="777" width="26.42578125" bestFit="1" customWidth="1"/>
    <col min="778" max="778" width="32.42578125" bestFit="1" customWidth="1"/>
    <col min="779" max="779" width="6.85546875" bestFit="1" customWidth="1"/>
    <col min="780" max="780" width="7.7109375" bestFit="1" customWidth="1"/>
    <col min="781" max="782" width="12.140625" bestFit="1" customWidth="1"/>
    <col min="783" max="783" width="31.140625" bestFit="1" customWidth="1"/>
    <col min="784" max="784" width="35.5703125" bestFit="1" customWidth="1"/>
    <col min="785" max="785" width="28" bestFit="1" customWidth="1"/>
    <col min="786" max="786" width="6.85546875" bestFit="1" customWidth="1"/>
    <col min="787" max="789" width="12.140625" bestFit="1" customWidth="1"/>
    <col min="790" max="790" width="31.140625" bestFit="1" customWidth="1"/>
    <col min="791" max="791" width="28.140625" bestFit="1" customWidth="1"/>
    <col min="792" max="792" width="35.28515625" bestFit="1" customWidth="1"/>
    <col min="793" max="793" width="6.85546875" bestFit="1" customWidth="1"/>
    <col min="794" max="796" width="12.140625" bestFit="1" customWidth="1"/>
    <col min="797" max="797" width="31.140625" bestFit="1" customWidth="1"/>
    <col min="798" max="798" width="38.5703125" bestFit="1" customWidth="1"/>
    <col min="799" max="799" width="28" bestFit="1" customWidth="1"/>
    <col min="800" max="800" width="6.85546875" bestFit="1" customWidth="1"/>
    <col min="801" max="801" width="10.42578125" bestFit="1" customWidth="1"/>
    <col min="802" max="803" width="12.140625" bestFit="1" customWidth="1"/>
    <col min="804" max="804" width="31.140625" bestFit="1" customWidth="1"/>
    <col min="805" max="805" width="29" bestFit="1" customWidth="1"/>
    <col min="806" max="806" width="28" bestFit="1" customWidth="1"/>
    <col min="807" max="807" width="6.85546875" bestFit="1" customWidth="1"/>
    <col min="808" max="810" width="12.140625" bestFit="1" customWidth="1"/>
    <col min="811" max="811" width="31.140625" bestFit="1" customWidth="1"/>
    <col min="812" max="812" width="11" bestFit="1" customWidth="1"/>
    <col min="813" max="813" width="28" bestFit="1" customWidth="1"/>
    <col min="814" max="814" width="6.85546875" bestFit="1" customWidth="1"/>
    <col min="815" max="815" width="7.7109375" bestFit="1" customWidth="1"/>
    <col min="816" max="817" width="12.140625" bestFit="1" customWidth="1"/>
    <col min="818" max="818" width="31.140625" bestFit="1" customWidth="1"/>
    <col min="819" max="819" width="29.7109375" bestFit="1" customWidth="1"/>
    <col min="820" max="820" width="28" bestFit="1" customWidth="1"/>
    <col min="821" max="821" width="6.85546875" bestFit="1" customWidth="1"/>
    <col min="822" max="822" width="7.7109375" bestFit="1" customWidth="1"/>
    <col min="823" max="824" width="12.140625" bestFit="1" customWidth="1"/>
    <col min="825" max="825" width="31.140625" bestFit="1" customWidth="1"/>
    <col min="826" max="826" width="27" bestFit="1" customWidth="1"/>
    <col min="827" max="827" width="30.42578125" bestFit="1" customWidth="1"/>
    <col min="828" max="828" width="6.85546875" bestFit="1" customWidth="1"/>
    <col min="829" max="829" width="7.7109375" bestFit="1" customWidth="1"/>
    <col min="830" max="831" width="12.140625" bestFit="1" customWidth="1"/>
    <col min="832" max="832" width="31.140625" bestFit="1" customWidth="1"/>
    <col min="833" max="833" width="33.5703125" bestFit="1" customWidth="1"/>
    <col min="834" max="834" width="43.28515625" bestFit="1" customWidth="1"/>
    <col min="835" max="835" width="6.85546875" bestFit="1" customWidth="1"/>
    <col min="836" max="836" width="7.7109375" bestFit="1" customWidth="1"/>
    <col min="837" max="838" width="12.140625" bestFit="1" customWidth="1"/>
    <col min="839" max="839" width="31.140625" bestFit="1" customWidth="1"/>
    <col min="840" max="840" width="46.5703125" bestFit="1" customWidth="1"/>
    <col min="841" max="841" width="28" bestFit="1" customWidth="1"/>
    <col min="842" max="842" width="6.85546875" bestFit="1" customWidth="1"/>
    <col min="843" max="845" width="12.140625" bestFit="1" customWidth="1"/>
    <col min="846" max="846" width="31.140625" bestFit="1" customWidth="1"/>
    <col min="847" max="847" width="28.5703125" bestFit="1" customWidth="1"/>
    <col min="848" max="848" width="11.28515625" bestFit="1" customWidth="1"/>
    <col min="849" max="849" width="31" bestFit="1" customWidth="1"/>
    <col min="850" max="850" width="6.85546875" bestFit="1" customWidth="1"/>
    <col min="851" max="851" width="27.85546875" bestFit="1" customWidth="1"/>
    <col min="852" max="852" width="10" bestFit="1" customWidth="1"/>
    <col min="853" max="854" width="12.140625" bestFit="1" customWidth="1"/>
    <col min="855" max="855" width="31.140625" bestFit="1" customWidth="1"/>
    <col min="856" max="856" width="34.28515625" bestFit="1" customWidth="1"/>
    <col min="857" max="857" width="28" bestFit="1" customWidth="1"/>
    <col min="858" max="858" width="6.85546875" bestFit="1" customWidth="1"/>
    <col min="859" max="859" width="27.85546875" bestFit="1" customWidth="1"/>
    <col min="860" max="862" width="12.140625" bestFit="1" customWidth="1"/>
    <col min="863" max="863" width="31.140625" bestFit="1" customWidth="1"/>
    <col min="864" max="864" width="12" bestFit="1" customWidth="1"/>
    <col min="865" max="865" width="29.7109375" bestFit="1" customWidth="1"/>
    <col min="866" max="866" width="6.85546875" bestFit="1" customWidth="1"/>
    <col min="867" max="867" width="27.85546875" bestFit="1" customWidth="1"/>
    <col min="868" max="868" width="8.140625" bestFit="1" customWidth="1"/>
    <col min="869" max="870" width="12.140625" bestFit="1" customWidth="1"/>
    <col min="871" max="871" width="31.140625" bestFit="1" customWidth="1"/>
    <col min="872" max="872" width="32.85546875" bestFit="1" customWidth="1"/>
    <col min="873" max="873" width="28" bestFit="1" customWidth="1"/>
    <col min="874" max="874" width="6.85546875" bestFit="1" customWidth="1"/>
    <col min="875" max="875" width="27.85546875" bestFit="1" customWidth="1"/>
    <col min="876" max="876" width="8.140625" bestFit="1" customWidth="1"/>
    <col min="877" max="878" width="12.140625" bestFit="1" customWidth="1"/>
    <col min="879" max="879" width="31.140625" bestFit="1" customWidth="1"/>
    <col min="880" max="880" width="26.140625" bestFit="1" customWidth="1"/>
    <col min="881" max="881" width="28" bestFit="1" customWidth="1"/>
    <col min="882" max="882" width="6.85546875" bestFit="1" customWidth="1"/>
    <col min="883" max="883" width="27.85546875" bestFit="1" customWidth="1"/>
    <col min="884" max="884" width="8.140625" bestFit="1" customWidth="1"/>
    <col min="885" max="885" width="12.140625" bestFit="1" customWidth="1"/>
    <col min="886" max="887" width="31.140625" bestFit="1" customWidth="1"/>
    <col min="888" max="888" width="26.42578125" bestFit="1" customWidth="1"/>
    <col min="889" max="889" width="32.42578125" bestFit="1" customWidth="1"/>
    <col min="890" max="890" width="6.85546875" bestFit="1" customWidth="1"/>
    <col min="891" max="891" width="27.85546875" bestFit="1" customWidth="1"/>
    <col min="892" max="892" width="7.7109375" bestFit="1" customWidth="1"/>
    <col min="893" max="894" width="12.140625" bestFit="1" customWidth="1"/>
    <col min="895" max="895" width="31.140625" bestFit="1" customWidth="1"/>
    <col min="896" max="896" width="35.5703125" bestFit="1" customWidth="1"/>
    <col min="897" max="897" width="28" bestFit="1" customWidth="1"/>
    <col min="898" max="898" width="6.85546875" bestFit="1" customWidth="1"/>
    <col min="899" max="899" width="27.85546875" bestFit="1" customWidth="1"/>
    <col min="900" max="902" width="12.140625" bestFit="1" customWidth="1"/>
    <col min="903" max="903" width="31.140625" bestFit="1" customWidth="1"/>
    <col min="904" max="904" width="28.140625" bestFit="1" customWidth="1"/>
    <col min="905" max="905" width="35.28515625" bestFit="1" customWidth="1"/>
    <col min="906" max="906" width="6.85546875" bestFit="1" customWidth="1"/>
    <col min="907" max="907" width="27.85546875" bestFit="1" customWidth="1"/>
    <col min="908" max="910" width="12.140625" bestFit="1" customWidth="1"/>
    <col min="911" max="911" width="31.140625" bestFit="1" customWidth="1"/>
    <col min="912" max="912" width="38.5703125" bestFit="1" customWidth="1"/>
    <col min="913" max="913" width="28" bestFit="1" customWidth="1"/>
    <col min="914" max="914" width="6.85546875" bestFit="1" customWidth="1"/>
    <col min="915" max="915" width="27.85546875" bestFit="1" customWidth="1"/>
    <col min="916" max="916" width="10.42578125" bestFit="1" customWidth="1"/>
    <col min="917" max="918" width="12.140625" bestFit="1" customWidth="1"/>
    <col min="919" max="919" width="31.140625" bestFit="1" customWidth="1"/>
    <col min="920" max="920" width="29" bestFit="1" customWidth="1"/>
    <col min="921" max="921" width="28" bestFit="1" customWidth="1"/>
    <col min="922" max="922" width="6.85546875" bestFit="1" customWidth="1"/>
    <col min="923" max="923" width="27.85546875" bestFit="1" customWidth="1"/>
    <col min="924" max="926" width="12.140625" bestFit="1" customWidth="1"/>
    <col min="927" max="927" width="31.140625" bestFit="1" customWidth="1"/>
    <col min="928" max="928" width="11" bestFit="1" customWidth="1"/>
    <col min="929" max="929" width="28" bestFit="1" customWidth="1"/>
    <col min="930" max="930" width="6.85546875" bestFit="1" customWidth="1"/>
    <col min="931" max="931" width="27.85546875" bestFit="1" customWidth="1"/>
    <col min="932" max="932" width="7.7109375" bestFit="1" customWidth="1"/>
    <col min="933" max="934" width="12.140625" bestFit="1" customWidth="1"/>
    <col min="935" max="935" width="31.140625" bestFit="1" customWidth="1"/>
    <col min="936" max="936" width="29.7109375" bestFit="1" customWidth="1"/>
    <col min="937" max="937" width="28" bestFit="1" customWidth="1"/>
    <col min="938" max="938" width="6.85546875" bestFit="1" customWidth="1"/>
    <col min="939" max="939" width="27.85546875" bestFit="1" customWidth="1"/>
    <col min="940" max="940" width="7.7109375" bestFit="1" customWidth="1"/>
    <col min="941" max="942" width="12.140625" bestFit="1" customWidth="1"/>
    <col min="943" max="943" width="31.140625" bestFit="1" customWidth="1"/>
    <col min="944" max="944" width="27" bestFit="1" customWidth="1"/>
    <col min="945" max="945" width="30.42578125" bestFit="1" customWidth="1"/>
    <col min="946" max="946" width="6.85546875" bestFit="1" customWidth="1"/>
    <col min="947" max="947" width="27.85546875" bestFit="1" customWidth="1"/>
    <col min="948" max="948" width="7.7109375" bestFit="1" customWidth="1"/>
    <col min="949" max="950" width="12.140625" bestFit="1" customWidth="1"/>
    <col min="951" max="951" width="31.140625" bestFit="1" customWidth="1"/>
    <col min="952" max="952" width="33.5703125" bestFit="1" customWidth="1"/>
    <col min="953" max="953" width="43.28515625" bestFit="1" customWidth="1"/>
    <col min="954" max="954" width="6.85546875" bestFit="1" customWidth="1"/>
    <col min="955" max="955" width="27.85546875" bestFit="1" customWidth="1"/>
    <col min="956" max="956" width="7.7109375" bestFit="1" customWidth="1"/>
    <col min="957" max="958" width="12.140625" bestFit="1" customWidth="1"/>
    <col min="959" max="959" width="31.140625" bestFit="1" customWidth="1"/>
    <col min="960" max="960" width="46.5703125" bestFit="1" customWidth="1"/>
    <col min="961" max="961" width="28" bestFit="1" customWidth="1"/>
    <col min="962" max="962" width="6.85546875" bestFit="1" customWidth="1"/>
    <col min="963" max="963" width="27.85546875" bestFit="1" customWidth="1"/>
    <col min="964" max="966" width="12.140625" bestFit="1" customWidth="1"/>
    <col min="967" max="967" width="31.140625" bestFit="1" customWidth="1"/>
    <col min="968" max="968" width="28.5703125" bestFit="1" customWidth="1"/>
    <col min="969" max="969" width="11.28515625" bestFit="1" customWidth="1"/>
    <col min="970" max="970" width="12.140625" bestFit="1" customWidth="1"/>
    <col min="971" max="971" width="31.140625" bestFit="1" customWidth="1"/>
    <col min="972" max="972" width="12" bestFit="1" customWidth="1"/>
    <col min="973" max="973" width="29.7109375" bestFit="1" customWidth="1"/>
    <col min="974" max="974" width="7.85546875" bestFit="1" customWidth="1"/>
    <col min="975" max="975" width="6.85546875" bestFit="1" customWidth="1"/>
    <col min="976" max="976" width="27.85546875" bestFit="1" customWidth="1"/>
    <col min="977" max="977" width="8.140625" bestFit="1" customWidth="1"/>
    <col min="978" max="979" width="12.140625" bestFit="1" customWidth="1"/>
    <col min="980" max="980" width="31.140625" bestFit="1" customWidth="1"/>
    <col min="981" max="981" width="32.85546875" bestFit="1" customWidth="1"/>
    <col min="982" max="982" width="28" bestFit="1" customWidth="1"/>
    <col min="983" max="983" width="7.85546875" bestFit="1" customWidth="1"/>
    <col min="984" max="984" width="6.85546875" bestFit="1" customWidth="1"/>
    <col min="985" max="985" width="27.85546875" bestFit="1" customWidth="1"/>
    <col min="986" max="986" width="8.140625" bestFit="1" customWidth="1"/>
    <col min="987" max="988" width="12.140625" bestFit="1" customWidth="1"/>
    <col min="989" max="989" width="31.140625" bestFit="1" customWidth="1"/>
    <col min="990" max="990" width="26.140625" bestFit="1" customWidth="1"/>
    <col min="991" max="991" width="28" bestFit="1" customWidth="1"/>
    <col min="992" max="992" width="7.85546875" bestFit="1" customWidth="1"/>
    <col min="993" max="993" width="6.85546875" bestFit="1" customWidth="1"/>
    <col min="994" max="994" width="27.85546875" bestFit="1" customWidth="1"/>
    <col min="995" max="995" width="8.140625" bestFit="1" customWidth="1"/>
    <col min="996" max="996" width="12.140625" bestFit="1" customWidth="1"/>
    <col min="997" max="998" width="31.140625" bestFit="1" customWidth="1"/>
    <col min="999" max="999" width="26.42578125" bestFit="1" customWidth="1"/>
    <col min="1000" max="1000" width="32.42578125" bestFit="1" customWidth="1"/>
    <col min="1001" max="1002" width="6.85546875" bestFit="1" customWidth="1"/>
    <col min="1003" max="1003" width="27.85546875" bestFit="1" customWidth="1"/>
    <col min="1004" max="1004" width="7.7109375" bestFit="1" customWidth="1"/>
    <col min="1005" max="1006" width="12.140625" bestFit="1" customWidth="1"/>
    <col min="1007" max="1007" width="31.140625" bestFit="1" customWidth="1"/>
    <col min="1008" max="1008" width="35.5703125" bestFit="1" customWidth="1"/>
    <col min="1009" max="1009" width="28" bestFit="1" customWidth="1"/>
    <col min="1010" max="1011" width="6.85546875" bestFit="1" customWidth="1"/>
    <col min="1012" max="1012" width="27.85546875" bestFit="1" customWidth="1"/>
    <col min="1013" max="1015" width="12.140625" bestFit="1" customWidth="1"/>
    <col min="1016" max="1016" width="31.140625" bestFit="1" customWidth="1"/>
    <col min="1017" max="1017" width="28.140625" bestFit="1" customWidth="1"/>
    <col min="1018" max="1018" width="35.28515625" bestFit="1" customWidth="1"/>
    <col min="1019" max="1020" width="6.85546875" bestFit="1" customWidth="1"/>
    <col min="1021" max="1021" width="27.85546875" bestFit="1" customWidth="1"/>
    <col min="1022" max="1024" width="12.140625" bestFit="1" customWidth="1"/>
    <col min="1025" max="1025" width="31.140625" bestFit="1" customWidth="1"/>
    <col min="1026" max="1026" width="38.5703125" bestFit="1" customWidth="1"/>
    <col min="1027" max="1027" width="28" bestFit="1" customWidth="1"/>
    <col min="1028" max="1029" width="6.85546875" bestFit="1" customWidth="1"/>
    <col min="1030" max="1030" width="27.85546875" bestFit="1" customWidth="1"/>
    <col min="1031" max="1031" width="10.42578125" bestFit="1" customWidth="1"/>
    <col min="1032" max="1033" width="12.140625" bestFit="1" customWidth="1"/>
    <col min="1034" max="1034" width="31.140625" bestFit="1" customWidth="1"/>
    <col min="1035" max="1035" width="29" bestFit="1" customWidth="1"/>
    <col min="1036" max="1036" width="28" bestFit="1" customWidth="1"/>
    <col min="1037" max="1037" width="7.85546875" bestFit="1" customWidth="1"/>
    <col min="1038" max="1038" width="6.85546875" bestFit="1" customWidth="1"/>
    <col min="1039" max="1039" width="27.85546875" bestFit="1" customWidth="1"/>
    <col min="1040" max="1042" width="12.140625" bestFit="1" customWidth="1"/>
    <col min="1043" max="1043" width="31.140625" bestFit="1" customWidth="1"/>
    <col min="1044" max="1044" width="11" bestFit="1" customWidth="1"/>
    <col min="1045" max="1045" width="28" bestFit="1" customWidth="1"/>
    <col min="1046" max="1046" width="7.85546875" bestFit="1" customWidth="1"/>
    <col min="1047" max="1047" width="6.85546875" bestFit="1" customWidth="1"/>
    <col min="1048" max="1048" width="27.85546875" bestFit="1" customWidth="1"/>
    <col min="1049" max="1049" width="7.7109375" bestFit="1" customWidth="1"/>
    <col min="1050" max="1051" width="12.140625" bestFit="1" customWidth="1"/>
    <col min="1052" max="1052" width="31.140625" bestFit="1" customWidth="1"/>
    <col min="1053" max="1053" width="29.7109375" bestFit="1" customWidth="1"/>
    <col min="1054" max="1054" width="28" bestFit="1" customWidth="1"/>
    <col min="1055" max="1056" width="6.85546875" bestFit="1" customWidth="1"/>
    <col min="1057" max="1057" width="27.85546875" bestFit="1" customWidth="1"/>
    <col min="1058" max="1058" width="7.7109375" bestFit="1" customWidth="1"/>
    <col min="1059" max="1060" width="12.140625" bestFit="1" customWidth="1"/>
    <col min="1061" max="1061" width="31.140625" bestFit="1" customWidth="1"/>
    <col min="1062" max="1062" width="27" bestFit="1" customWidth="1"/>
    <col min="1063" max="1063" width="30.42578125" bestFit="1" customWidth="1"/>
    <col min="1064" max="1065" width="6.85546875" bestFit="1" customWidth="1"/>
    <col min="1066" max="1066" width="27.85546875" bestFit="1" customWidth="1"/>
    <col min="1067" max="1067" width="7.7109375" bestFit="1" customWidth="1"/>
    <col min="1068" max="1069" width="12.140625" bestFit="1" customWidth="1"/>
    <col min="1070" max="1070" width="31.140625" bestFit="1" customWidth="1"/>
    <col min="1071" max="1071" width="33.5703125" bestFit="1" customWidth="1"/>
    <col min="1072" max="1072" width="43.28515625" bestFit="1" customWidth="1"/>
    <col min="1073" max="1074" width="6.85546875" bestFit="1" customWidth="1"/>
    <col min="1075" max="1075" width="27.85546875" bestFit="1" customWidth="1"/>
    <col min="1076" max="1076" width="7.7109375" bestFit="1" customWidth="1"/>
    <col min="1077" max="1078" width="12.140625" bestFit="1" customWidth="1"/>
    <col min="1079" max="1079" width="31.140625" bestFit="1" customWidth="1"/>
    <col min="1080" max="1080" width="46.5703125" bestFit="1" customWidth="1"/>
    <col min="1081" max="1081" width="28" bestFit="1" customWidth="1"/>
    <col min="1082" max="1083" width="6.85546875" bestFit="1" customWidth="1"/>
    <col min="1084" max="1084" width="27.85546875" bestFit="1" customWidth="1"/>
    <col min="1085" max="1087" width="12.140625" bestFit="1" customWidth="1"/>
    <col min="1088" max="1088" width="31.140625" bestFit="1" customWidth="1"/>
    <col min="1089" max="1089" width="28.5703125" bestFit="1" customWidth="1"/>
    <col min="1090" max="1090" width="11.28515625" bestFit="1" customWidth="1"/>
    <col min="1091" max="1091" width="6.85546875" bestFit="1" customWidth="1"/>
    <col min="1092" max="1092" width="27.85546875" bestFit="1" customWidth="1"/>
    <col min="1093" max="1095" width="12.140625" bestFit="1" customWidth="1"/>
    <col min="1096" max="1096" width="31.140625" bestFit="1" customWidth="1"/>
    <col min="1097" max="1097" width="28.5703125" bestFit="1" customWidth="1"/>
    <col min="1098" max="1098" width="11.28515625" bestFit="1" customWidth="1"/>
    <col min="1099" max="1099" width="6.85546875" bestFit="1" customWidth="1"/>
    <col min="1100" max="1100" width="27.85546875" bestFit="1" customWidth="1"/>
    <col min="1101" max="1103" width="12.140625" bestFit="1" customWidth="1"/>
    <col min="1104" max="1104" width="31.140625" bestFit="1" customWidth="1"/>
    <col min="1105" max="1105" width="28.5703125" bestFit="1" customWidth="1"/>
    <col min="1106" max="1106" width="11.28515625" bestFit="1" customWidth="1"/>
    <col min="1107" max="1107" width="6.85546875" bestFit="1" customWidth="1"/>
    <col min="1108" max="1108" width="27.85546875" bestFit="1" customWidth="1"/>
    <col min="1109" max="1111" width="12.140625" bestFit="1" customWidth="1"/>
    <col min="1112" max="1112" width="31.140625" bestFit="1" customWidth="1"/>
    <col min="1113" max="1113" width="28.5703125" bestFit="1" customWidth="1"/>
    <col min="1114" max="1114" width="11.28515625" bestFit="1" customWidth="1"/>
    <col min="1115" max="1115" width="12.140625" bestFit="1" customWidth="1"/>
    <col min="1116" max="1116" width="31.140625" bestFit="1" customWidth="1"/>
    <col min="1117" max="1117" width="11.85546875" bestFit="1" customWidth="1"/>
    <col min="1118" max="1118" width="45.7109375" bestFit="1" customWidth="1"/>
    <col min="1119" max="1119" width="27.85546875" bestFit="1" customWidth="1"/>
    <col min="1120" max="1122" width="12.140625" bestFit="1" customWidth="1"/>
    <col min="1123" max="1123" width="31.140625" bestFit="1" customWidth="1"/>
    <col min="1124" max="1124" width="48.85546875" bestFit="1" customWidth="1"/>
    <col min="1125" max="1125" width="28" bestFit="1" customWidth="1"/>
    <col min="1126" max="1126" width="27.85546875" bestFit="1" customWidth="1"/>
    <col min="1127" max="1127" width="10.85546875" bestFit="1" customWidth="1"/>
    <col min="1128" max="1129" width="12.140625" bestFit="1" customWidth="1"/>
    <col min="1130" max="1130" width="31.140625" bestFit="1" customWidth="1"/>
    <col min="1131" max="1131" width="28" bestFit="1" customWidth="1"/>
    <col min="1132" max="1132" width="27.85546875" bestFit="1" customWidth="1"/>
    <col min="1133" max="1133" width="10.85546875" bestFit="1" customWidth="1"/>
    <col min="1134" max="1135" width="12.140625" bestFit="1" customWidth="1"/>
    <col min="1136" max="1136" width="31.140625" bestFit="1" customWidth="1"/>
    <col min="1137" max="1137" width="29.7109375" bestFit="1" customWidth="1"/>
    <col min="1138" max="1138" width="37.28515625" bestFit="1" customWidth="1"/>
    <col min="1139" max="1139" width="27.85546875" bestFit="1" customWidth="1"/>
    <col min="1140" max="1142" width="12.140625" bestFit="1" customWidth="1"/>
    <col min="1143" max="1143" width="31.140625" bestFit="1" customWidth="1"/>
    <col min="1144" max="1144" width="28" bestFit="1" customWidth="1"/>
    <col min="1145" max="1145" width="27.85546875" bestFit="1" customWidth="1"/>
    <col min="1146" max="1146" width="10.85546875" bestFit="1" customWidth="1"/>
    <col min="1147" max="1148" width="12.140625" bestFit="1" customWidth="1"/>
    <col min="1149" max="1149" width="31.140625" bestFit="1" customWidth="1"/>
    <col min="1150" max="1150" width="40.42578125" bestFit="1" customWidth="1"/>
    <col min="1151" max="1151" width="30.7109375" bestFit="1" customWidth="1"/>
    <col min="1152" max="1152" width="27.85546875" bestFit="1" customWidth="1"/>
    <col min="1153" max="1153" width="10.85546875" bestFit="1" customWidth="1"/>
    <col min="1154" max="1155" width="12.140625" bestFit="1" customWidth="1"/>
    <col min="1156" max="1156" width="31.140625" bestFit="1" customWidth="1"/>
    <col min="1157" max="1157" width="34" bestFit="1" customWidth="1"/>
    <col min="1158" max="1158" width="41.140625" bestFit="1" customWidth="1"/>
    <col min="1159" max="1159" width="27.85546875" bestFit="1" customWidth="1"/>
    <col min="1160" max="1162" width="12.140625" bestFit="1" customWidth="1"/>
    <col min="1163" max="1163" width="31.140625" bestFit="1" customWidth="1"/>
    <col min="1164" max="1164" width="44.28515625" bestFit="1" customWidth="1"/>
    <col min="1165" max="1165" width="36.5703125" bestFit="1" customWidth="1"/>
    <col min="1166" max="1166" width="27.85546875" bestFit="1" customWidth="1"/>
    <col min="1167" max="1169" width="12.140625" bestFit="1" customWidth="1"/>
    <col min="1170" max="1170" width="31.140625" bestFit="1" customWidth="1"/>
    <col min="1171" max="1171" width="39.7109375" bestFit="1" customWidth="1"/>
    <col min="1172" max="1172" width="33.28515625" bestFit="1" customWidth="1"/>
    <col min="1173" max="1173" width="27.85546875" bestFit="1" customWidth="1"/>
    <col min="1174" max="1174" width="20.42578125" bestFit="1" customWidth="1"/>
    <col min="1175" max="1176" width="12.140625" bestFit="1" customWidth="1"/>
    <col min="1177" max="1177" width="31.140625" bestFit="1" customWidth="1"/>
    <col min="1178" max="1178" width="28" bestFit="1" customWidth="1"/>
    <col min="1179" max="1179" width="27.85546875" bestFit="1" customWidth="1"/>
    <col min="1180" max="1180" width="16.5703125" bestFit="1" customWidth="1"/>
    <col min="1181" max="1182" width="12.140625" bestFit="1" customWidth="1"/>
    <col min="1183" max="1183" width="31.140625" bestFit="1" customWidth="1"/>
    <col min="1184" max="1184" width="36.42578125" bestFit="1" customWidth="1"/>
    <col min="1185" max="1185" width="28" bestFit="1" customWidth="1"/>
    <col min="1186" max="1186" width="27.85546875" bestFit="1" customWidth="1"/>
    <col min="1187" max="1189" width="12.140625" bestFit="1" customWidth="1"/>
    <col min="1190" max="1190" width="31.140625" bestFit="1" customWidth="1"/>
    <col min="1191" max="1191" width="21.7109375" bestFit="1" customWidth="1"/>
    <col min="1192" max="1192" width="32.7109375" bestFit="1" customWidth="1"/>
    <col min="1193" max="1193" width="27.85546875" bestFit="1" customWidth="1"/>
    <col min="1194" max="1196" width="12.140625" bestFit="1" customWidth="1"/>
    <col min="1197" max="1197" width="31.140625" bestFit="1" customWidth="1"/>
    <col min="1198" max="1198" width="35.85546875" bestFit="1" customWidth="1"/>
    <col min="1199" max="1199" width="28" bestFit="1" customWidth="1"/>
    <col min="1200" max="1200" width="27.85546875" bestFit="1" customWidth="1"/>
    <col min="1201" max="1203" width="12.140625" bestFit="1" customWidth="1"/>
    <col min="1204" max="1204" width="31.140625" bestFit="1" customWidth="1"/>
    <col min="1205" max="1205" width="29.42578125" bestFit="1" customWidth="1"/>
    <col min="1206" max="1206" width="29.28515625" bestFit="1" customWidth="1"/>
    <col min="1207" max="1207" width="27.85546875" bestFit="1" customWidth="1"/>
    <col min="1208" max="1210" width="12.140625" bestFit="1" customWidth="1"/>
    <col min="1211" max="1211" width="31.140625" bestFit="1" customWidth="1"/>
    <col min="1212" max="1212" width="32.42578125" bestFit="1" customWidth="1"/>
    <col min="1213" max="1213" width="28" bestFit="1" customWidth="1"/>
    <col min="1214" max="1214" width="27.85546875" bestFit="1" customWidth="1"/>
    <col min="1215" max="1217" width="12.140625" bestFit="1" customWidth="1"/>
    <col min="1218" max="1218" width="31.140625" bestFit="1" customWidth="1"/>
    <col min="1219" max="1219" width="19.28515625" bestFit="1" customWidth="1"/>
    <col min="1220" max="1220" width="28" bestFit="1" customWidth="1"/>
    <col min="1221" max="1221" width="27.85546875" bestFit="1" customWidth="1"/>
    <col min="1222" max="1224" width="12.140625" bestFit="1" customWidth="1"/>
    <col min="1225" max="1225" width="31.140625" bestFit="1" customWidth="1"/>
    <col min="1226" max="1226" width="27.5703125" bestFit="1" customWidth="1"/>
    <col min="1227" max="1227" width="28" bestFit="1" customWidth="1"/>
    <col min="1228" max="1228" width="27.85546875" bestFit="1" customWidth="1"/>
    <col min="1229" max="1231" width="12.140625" bestFit="1" customWidth="1"/>
    <col min="1232" max="1232" width="31.140625" bestFit="1" customWidth="1"/>
    <col min="1233" max="1233" width="20.7109375" bestFit="1" customWidth="1"/>
    <col min="1234" max="1234" width="28" bestFit="1" customWidth="1"/>
    <col min="1235" max="1235" width="27.85546875" bestFit="1" customWidth="1"/>
    <col min="1236" max="1238" width="12.140625" bestFit="1" customWidth="1"/>
    <col min="1239" max="1239" width="31.140625" bestFit="1" customWidth="1"/>
    <col min="1240" max="1240" width="24.28515625" bestFit="1" customWidth="1"/>
    <col min="1241" max="1241" width="28" bestFit="1" customWidth="1"/>
    <col min="1242" max="1242" width="27.85546875" bestFit="1" customWidth="1"/>
    <col min="1243" max="1245" width="12.140625" bestFit="1" customWidth="1"/>
    <col min="1246" max="1246" width="31.140625" bestFit="1" customWidth="1"/>
    <col min="1247" max="1247" width="27" bestFit="1" customWidth="1"/>
    <col min="1248" max="1248" width="28" bestFit="1" customWidth="1"/>
    <col min="1249" max="1249" width="27.85546875" bestFit="1" customWidth="1"/>
    <col min="1250" max="1252" width="12.140625" bestFit="1" customWidth="1"/>
    <col min="1253" max="1253" width="31.140625" bestFit="1" customWidth="1"/>
    <col min="1254" max="1254" width="17.5703125" bestFit="1" customWidth="1"/>
    <col min="1255" max="1255" width="28" bestFit="1" customWidth="1"/>
    <col min="1256" max="1256" width="27.85546875" bestFit="1" customWidth="1"/>
    <col min="1257" max="1259" width="12.140625" bestFit="1" customWidth="1"/>
    <col min="1260" max="1260" width="31.140625" bestFit="1" customWidth="1"/>
    <col min="1261" max="1261" width="18.140625" bestFit="1" customWidth="1"/>
    <col min="1262" max="1262" width="39.140625" bestFit="1" customWidth="1"/>
    <col min="1263" max="1263" width="27.85546875" bestFit="1" customWidth="1"/>
    <col min="1264" max="1266" width="12.140625" bestFit="1" customWidth="1"/>
    <col min="1267" max="1267" width="31.140625" bestFit="1" customWidth="1"/>
    <col min="1268" max="1268" width="42.42578125" bestFit="1" customWidth="1"/>
    <col min="1269" max="1269" width="46.28515625" bestFit="1" customWidth="1"/>
    <col min="1270" max="1270" width="27.85546875" bestFit="1" customWidth="1"/>
    <col min="1271" max="1273" width="12.140625" bestFit="1" customWidth="1"/>
    <col min="1274" max="1274" width="31.140625" bestFit="1" customWidth="1"/>
    <col min="1275" max="1275" width="49.42578125" bestFit="1" customWidth="1"/>
    <col min="1276" max="1276" width="38.140625" bestFit="1" customWidth="1"/>
    <col min="1277" max="1277" width="27.85546875" bestFit="1" customWidth="1"/>
    <col min="1278" max="1280" width="12.140625" bestFit="1" customWidth="1"/>
    <col min="1281" max="1281" width="31.140625" bestFit="1" customWidth="1"/>
    <col min="1282" max="1282" width="41.28515625" bestFit="1" customWidth="1"/>
    <col min="1283" max="1283" width="28" bestFit="1" customWidth="1"/>
    <col min="1284" max="1284" width="27.85546875" bestFit="1" customWidth="1"/>
    <col min="1285" max="1287" width="12.140625" bestFit="1" customWidth="1"/>
    <col min="1288" max="1288" width="31.140625" bestFit="1" customWidth="1"/>
    <col min="1289" max="1289" width="25.7109375" bestFit="1" customWidth="1"/>
    <col min="1290" max="1290" width="38.28515625" bestFit="1" customWidth="1"/>
    <col min="1291" max="1291" width="27.85546875" bestFit="1" customWidth="1"/>
    <col min="1292" max="1294" width="12.140625" bestFit="1" customWidth="1"/>
    <col min="1295" max="1295" width="31.140625" bestFit="1" customWidth="1"/>
    <col min="1296" max="1296" width="41.42578125" bestFit="1" customWidth="1"/>
    <col min="1297" max="1297" width="30.140625" bestFit="1" customWidth="1"/>
    <col min="1298" max="1298" width="27.85546875" bestFit="1" customWidth="1"/>
    <col min="1299" max="1301" width="12.140625" bestFit="1" customWidth="1"/>
    <col min="1302" max="1302" width="31.140625" bestFit="1" customWidth="1"/>
    <col min="1303" max="1303" width="33.28515625" bestFit="1" customWidth="1"/>
    <col min="1304" max="1304" width="32.5703125" bestFit="1" customWidth="1"/>
    <col min="1305" max="1305" width="27.85546875" bestFit="1" customWidth="1"/>
    <col min="1306" max="1308" width="12.140625" bestFit="1" customWidth="1"/>
    <col min="1309" max="1309" width="31.140625" bestFit="1" customWidth="1"/>
    <col min="1310" max="1310" width="35.7109375" bestFit="1" customWidth="1"/>
    <col min="1311" max="1311" width="35" bestFit="1" customWidth="1"/>
    <col min="1312" max="1312" width="27.85546875" bestFit="1" customWidth="1"/>
    <col min="1313" max="1313" width="14.28515625" bestFit="1" customWidth="1"/>
    <col min="1314" max="1315" width="12.140625" bestFit="1" customWidth="1"/>
    <col min="1316" max="1316" width="31.140625" bestFit="1" customWidth="1"/>
    <col min="1317" max="1317" width="38.28515625" bestFit="1" customWidth="1"/>
    <col min="1318" max="1318" width="34.85546875" bestFit="1" customWidth="1"/>
    <col min="1319" max="1319" width="27.85546875" bestFit="1" customWidth="1"/>
    <col min="1320" max="1320" width="10.42578125" bestFit="1" customWidth="1"/>
    <col min="1321" max="1322" width="12.140625" bestFit="1" customWidth="1"/>
    <col min="1323" max="1323" width="31.140625" bestFit="1" customWidth="1"/>
    <col min="1324" max="1324" width="38.140625" bestFit="1" customWidth="1"/>
    <col min="1325" max="1325" width="28" bestFit="1" customWidth="1"/>
    <col min="1326" max="1326" width="27.85546875" bestFit="1" customWidth="1"/>
    <col min="1327" max="1327" width="14.28515625" bestFit="1" customWidth="1"/>
    <col min="1328" max="1329" width="12.140625" bestFit="1" customWidth="1"/>
    <col min="1330" max="1330" width="31.140625" bestFit="1" customWidth="1"/>
    <col min="1331" max="1331" width="25.140625" bestFit="1" customWidth="1"/>
    <col min="1332" max="1332" width="28" bestFit="1" customWidth="1"/>
    <col min="1333" max="1333" width="27.85546875" bestFit="1" customWidth="1"/>
    <col min="1334" max="1336" width="12.140625" bestFit="1" customWidth="1"/>
    <col min="1337" max="1337" width="31.140625" bestFit="1" customWidth="1"/>
    <col min="1338" max="1338" width="21.85546875" bestFit="1" customWidth="1"/>
    <col min="1339" max="1339" width="30.7109375" bestFit="1" customWidth="1"/>
    <col min="1340" max="1340" width="27.85546875" bestFit="1" customWidth="1"/>
    <col min="1341" max="1343" width="12.140625" bestFit="1" customWidth="1"/>
    <col min="1344" max="1344" width="31.140625" bestFit="1" customWidth="1"/>
    <col min="1345" max="1345" width="34" bestFit="1" customWidth="1"/>
    <col min="1346" max="1346" width="28" bestFit="1" customWidth="1"/>
    <col min="1347" max="1347" width="27.85546875" bestFit="1" customWidth="1"/>
    <col min="1348" max="1350" width="12.140625" bestFit="1" customWidth="1"/>
    <col min="1351" max="1351" width="31.140625" bestFit="1" customWidth="1"/>
    <col min="1352" max="1352" width="28.5703125" bestFit="1" customWidth="1"/>
    <col min="1353" max="1353" width="47.140625" bestFit="1" customWidth="1"/>
    <col min="1354" max="1354" width="27.85546875" bestFit="1" customWidth="1"/>
    <col min="1355" max="1355" width="10.42578125" bestFit="1" customWidth="1"/>
    <col min="1356" max="1357" width="12.140625" bestFit="1" customWidth="1"/>
    <col min="1358" max="1358" width="31.140625" bestFit="1" customWidth="1"/>
    <col min="1359" max="1359" width="50.42578125" bestFit="1" customWidth="1"/>
    <col min="1360" max="1360" width="47.42578125" bestFit="1" customWidth="1"/>
    <col min="1361" max="1361" width="27.85546875" bestFit="1" customWidth="1"/>
    <col min="1362" max="1364" width="12.140625" bestFit="1" customWidth="1"/>
    <col min="1365" max="1365" width="31.140625" bestFit="1" customWidth="1"/>
    <col min="1366" max="1366" width="50.7109375" bestFit="1" customWidth="1"/>
    <col min="1367" max="1367" width="28.85546875" bestFit="1" customWidth="1"/>
    <col min="1368" max="1368" width="27.85546875" bestFit="1" customWidth="1"/>
    <col min="1369" max="1371" width="12.140625" bestFit="1" customWidth="1"/>
    <col min="1372" max="1372" width="31.140625" bestFit="1" customWidth="1"/>
    <col min="1373" max="1373" width="32" bestFit="1" customWidth="1"/>
    <col min="1374" max="1374" width="42.85546875" bestFit="1" customWidth="1"/>
    <col min="1375" max="1375" width="27.85546875" bestFit="1" customWidth="1"/>
    <col min="1376" max="1376" width="10.42578125" bestFit="1" customWidth="1"/>
    <col min="1377" max="1378" width="12.140625" bestFit="1" customWidth="1"/>
    <col min="1379" max="1379" width="31.140625" bestFit="1" customWidth="1"/>
    <col min="1380" max="1380" width="46" bestFit="1" customWidth="1"/>
    <col min="1381" max="1381" width="55.28515625" bestFit="1" customWidth="1"/>
    <col min="1382" max="1382" width="27.85546875" bestFit="1" customWidth="1"/>
    <col min="1383" max="1383" width="14.28515625" bestFit="1" customWidth="1"/>
    <col min="1384" max="1385" width="12.140625" bestFit="1" customWidth="1"/>
    <col min="1386" max="1386" width="31.140625" bestFit="1" customWidth="1"/>
    <col min="1387" max="1387" width="58.42578125" bestFit="1" customWidth="1"/>
    <col min="1388" max="1388" width="28" bestFit="1" customWidth="1"/>
    <col min="1389" max="1389" width="27.85546875" bestFit="1" customWidth="1"/>
    <col min="1390" max="1392" width="12.140625" bestFit="1" customWidth="1"/>
    <col min="1393" max="1393" width="31.140625" bestFit="1" customWidth="1"/>
    <col min="1394" max="1394" width="28.140625" bestFit="1" customWidth="1"/>
    <col min="1395" max="1395" width="50.85546875" bestFit="1" customWidth="1"/>
    <col min="1396" max="1396" width="27.85546875" bestFit="1" customWidth="1"/>
    <col min="1397" max="1399" width="12.140625" bestFit="1" customWidth="1"/>
    <col min="1400" max="1400" width="31.140625" bestFit="1" customWidth="1"/>
    <col min="1401" max="1401" width="54" bestFit="1" customWidth="1"/>
    <col min="1402" max="1402" width="51.42578125" bestFit="1" customWidth="1"/>
    <col min="1403" max="1403" width="27.85546875" bestFit="1" customWidth="1"/>
    <col min="1404" max="1406" width="12.140625" bestFit="1" customWidth="1"/>
    <col min="1407" max="1407" width="31.140625" bestFit="1" customWidth="1"/>
    <col min="1408" max="1408" width="54.7109375" bestFit="1" customWidth="1"/>
    <col min="1409" max="1409" width="42" bestFit="1" customWidth="1"/>
    <col min="1410" max="1410" width="27.85546875" bestFit="1" customWidth="1"/>
    <col min="1411" max="1413" width="12.140625" bestFit="1" customWidth="1"/>
    <col min="1414" max="1414" width="31.140625" bestFit="1" customWidth="1"/>
    <col min="1415" max="1415" width="45.140625" bestFit="1" customWidth="1"/>
    <col min="1416" max="1416" width="32.42578125" bestFit="1" customWidth="1"/>
    <col min="1417" max="1417" width="27.85546875" bestFit="1" customWidth="1"/>
    <col min="1418" max="1420" width="12.140625" bestFit="1" customWidth="1"/>
    <col min="1421" max="1421" width="31.140625" bestFit="1" customWidth="1"/>
    <col min="1422" max="1422" width="35.5703125" bestFit="1" customWidth="1"/>
    <col min="1423" max="1423" width="48.42578125" bestFit="1" customWidth="1"/>
    <col min="1424" max="1424" width="27.85546875" bestFit="1" customWidth="1"/>
    <col min="1425" max="1425" width="10.42578125" bestFit="1" customWidth="1"/>
    <col min="1426" max="1427" width="12.140625" bestFit="1" customWidth="1"/>
    <col min="1428" max="1428" width="31.140625" bestFit="1" customWidth="1"/>
    <col min="1429" max="1429" width="51.5703125" bestFit="1" customWidth="1"/>
    <col min="1430" max="1430" width="29.85546875" bestFit="1" customWidth="1"/>
    <col min="1431" max="1431" width="27.85546875" bestFit="1" customWidth="1"/>
    <col min="1432" max="1432" width="7.140625" bestFit="1" customWidth="1"/>
    <col min="1433" max="1434" width="12.140625" bestFit="1" customWidth="1"/>
    <col min="1435" max="1435" width="31.140625" bestFit="1" customWidth="1"/>
    <col min="1436" max="1436" width="33" bestFit="1" customWidth="1"/>
    <col min="1437" max="1437" width="28" bestFit="1" customWidth="1"/>
    <col min="1438" max="1438" width="27.85546875" bestFit="1" customWidth="1"/>
    <col min="1439" max="1441" width="12.140625" bestFit="1" customWidth="1"/>
    <col min="1442" max="1442" width="31.140625" bestFit="1" customWidth="1"/>
    <col min="1443" max="1443" width="14.5703125" bestFit="1" customWidth="1"/>
    <col min="1444" max="1444" width="28" bestFit="1" customWidth="1"/>
    <col min="1445" max="1445" width="27.85546875" bestFit="1" customWidth="1"/>
    <col min="1446" max="1446" width="6.85546875" bestFit="1" customWidth="1"/>
    <col min="1447" max="1448" width="12.140625" bestFit="1" customWidth="1"/>
    <col min="1449" max="1449" width="31.140625" bestFit="1" customWidth="1"/>
    <col min="1450" max="1450" width="20.7109375" bestFit="1" customWidth="1"/>
    <col min="1451" max="1451" width="28" bestFit="1" customWidth="1"/>
    <col min="1452" max="1452" width="27.85546875" bestFit="1" customWidth="1"/>
    <col min="1453" max="1455" width="12.140625" bestFit="1" customWidth="1"/>
    <col min="1456" max="1456" width="31.140625" bestFit="1" customWidth="1"/>
    <col min="1457" max="1457" width="18.5703125" bestFit="1" customWidth="1"/>
    <col min="1458" max="1458" width="28" bestFit="1" customWidth="1"/>
    <col min="1459" max="1459" width="27.85546875" bestFit="1" customWidth="1"/>
    <col min="1460" max="1462" width="12.140625" bestFit="1" customWidth="1"/>
    <col min="1463" max="1463" width="31.140625" bestFit="1" customWidth="1"/>
    <col min="1464" max="1464" width="18" bestFit="1" customWidth="1"/>
    <col min="1465" max="1465" width="28" bestFit="1" customWidth="1"/>
    <col min="1466" max="1466" width="27.85546875" bestFit="1" customWidth="1"/>
    <col min="1467" max="1469" width="12.140625" bestFit="1" customWidth="1"/>
    <col min="1470" max="1470" width="31.140625" bestFit="1" customWidth="1"/>
    <col min="1471" max="1471" width="19.85546875" bestFit="1" customWidth="1"/>
    <col min="1472" max="1472" width="28" bestFit="1" customWidth="1"/>
    <col min="1473" max="1473" width="27.85546875" bestFit="1" customWidth="1"/>
    <col min="1474" max="1474" width="14.28515625" bestFit="1" customWidth="1"/>
    <col min="1475" max="1475" width="12.140625" bestFit="1" customWidth="1"/>
    <col min="1476" max="1477" width="31.140625" bestFit="1" customWidth="1"/>
    <col min="1478" max="1478" width="28" bestFit="1" customWidth="1"/>
    <col min="1479" max="1479" width="27.85546875" bestFit="1" customWidth="1"/>
    <col min="1480" max="1480" width="10.42578125" bestFit="1" customWidth="1"/>
    <col min="1481" max="1482" width="12.140625" bestFit="1" customWidth="1"/>
    <col min="1483" max="1483" width="31.140625" bestFit="1" customWidth="1"/>
    <col min="1484" max="1484" width="24.85546875" bestFit="1" customWidth="1"/>
    <col min="1485" max="1485" width="40.42578125" bestFit="1" customWidth="1"/>
    <col min="1486" max="1486" width="27.85546875" bestFit="1" customWidth="1"/>
    <col min="1487" max="1489" width="12.140625" bestFit="1" customWidth="1"/>
    <col min="1490" max="1490" width="31.140625" bestFit="1" customWidth="1"/>
    <col min="1491" max="1491" width="43.5703125" bestFit="1" customWidth="1"/>
    <col min="1492" max="1492" width="54.7109375" bestFit="1" customWidth="1"/>
    <col min="1493" max="1493" width="27.85546875" bestFit="1" customWidth="1"/>
    <col min="1494" max="1496" width="12.140625" bestFit="1" customWidth="1"/>
    <col min="1497" max="1497" width="31.140625" bestFit="1" customWidth="1"/>
    <col min="1498" max="1498" width="57.85546875" bestFit="1" customWidth="1"/>
    <col min="1499" max="1499" width="28" bestFit="1" customWidth="1"/>
    <col min="1500" max="1500" width="27.85546875" bestFit="1" customWidth="1"/>
    <col min="1501" max="1501" width="10.42578125" bestFit="1" customWidth="1"/>
    <col min="1502" max="1503" width="12.140625" bestFit="1" customWidth="1"/>
    <col min="1504" max="1504" width="31.140625" bestFit="1" customWidth="1"/>
    <col min="1505" max="1505" width="26.5703125" bestFit="1" customWidth="1"/>
    <col min="1506" max="1506" width="28.140625" bestFit="1" customWidth="1"/>
    <col min="1507" max="1507" width="27.85546875" bestFit="1" customWidth="1"/>
    <col min="1508" max="1508" width="8.140625" bestFit="1" customWidth="1"/>
    <col min="1509" max="1510" width="12.140625" bestFit="1" customWidth="1"/>
    <col min="1511" max="1511" width="31.140625" bestFit="1" customWidth="1"/>
    <col min="1512" max="1512" width="31.28515625" bestFit="1" customWidth="1"/>
    <col min="1513" max="1513" width="28" bestFit="1" customWidth="1"/>
    <col min="1514" max="1514" width="27.85546875" bestFit="1" customWidth="1"/>
    <col min="1515" max="1517" width="12.140625" bestFit="1" customWidth="1"/>
    <col min="1518" max="1518" width="31.140625" bestFit="1" customWidth="1"/>
    <col min="1519" max="1519" width="13.140625" bestFit="1" customWidth="1"/>
    <col min="1520" max="1520" width="28" bestFit="1" customWidth="1"/>
    <col min="1521" max="1521" width="27.85546875" bestFit="1" customWidth="1"/>
    <col min="1522" max="1524" width="12.140625" bestFit="1" customWidth="1"/>
    <col min="1525" max="1525" width="31.140625" bestFit="1" customWidth="1"/>
    <col min="1526" max="1526" width="16.42578125" bestFit="1" customWidth="1"/>
    <col min="1527" max="1527" width="28" bestFit="1" customWidth="1"/>
    <col min="1528" max="1528" width="27.85546875" bestFit="1" customWidth="1"/>
    <col min="1529" max="1531" width="12.140625" bestFit="1" customWidth="1"/>
    <col min="1532" max="1532" width="31.140625" bestFit="1" customWidth="1"/>
    <col min="1533" max="1533" width="16.5703125" bestFit="1" customWidth="1"/>
    <col min="1534" max="1534" width="52.7109375" bestFit="1" customWidth="1"/>
    <col min="1535" max="1535" width="27.85546875" bestFit="1" customWidth="1"/>
    <col min="1536" max="1538" width="12.140625" bestFit="1" customWidth="1"/>
    <col min="1539" max="1539" width="31.140625" bestFit="1" customWidth="1"/>
    <col min="1540" max="1540" width="55.85546875" bestFit="1" customWidth="1"/>
    <col min="1541" max="1541" width="28" bestFit="1" customWidth="1"/>
    <col min="1542" max="1542" width="27.85546875" bestFit="1" customWidth="1"/>
    <col min="1543" max="1545" width="12.140625" bestFit="1" customWidth="1"/>
    <col min="1546" max="1546" width="31.140625" bestFit="1" customWidth="1"/>
    <col min="1547" max="1547" width="14.28515625" bestFit="1" customWidth="1"/>
    <col min="1548" max="1548" width="28" bestFit="1" customWidth="1"/>
    <col min="1549" max="1549" width="27.85546875" bestFit="1" customWidth="1"/>
    <col min="1550" max="1552" width="12.140625" bestFit="1" customWidth="1"/>
    <col min="1553" max="1553" width="31.140625" bestFit="1" customWidth="1"/>
    <col min="1554" max="1554" width="22.85546875" bestFit="1" customWidth="1"/>
    <col min="1555" max="1555" width="28" bestFit="1" customWidth="1"/>
    <col min="1556" max="1556" width="27.85546875" bestFit="1" customWidth="1"/>
    <col min="1557" max="1559" width="12.140625" bestFit="1" customWidth="1"/>
    <col min="1560" max="1560" width="31.140625" bestFit="1" customWidth="1"/>
    <col min="1561" max="1561" width="17.85546875" bestFit="1" customWidth="1"/>
    <col min="1562" max="1562" width="28" bestFit="1" customWidth="1"/>
    <col min="1563" max="1563" width="27.85546875" bestFit="1" customWidth="1"/>
    <col min="1564" max="1566" width="12.140625" bestFit="1" customWidth="1"/>
    <col min="1567" max="1567" width="31.140625" bestFit="1" customWidth="1"/>
    <col min="1568" max="1568" width="26.28515625" bestFit="1" customWidth="1"/>
    <col min="1569" max="1569" width="28" bestFit="1" customWidth="1"/>
    <col min="1570" max="1570" width="27.85546875" bestFit="1" customWidth="1"/>
    <col min="1571" max="1573" width="12.140625" bestFit="1" customWidth="1"/>
    <col min="1574" max="1574" width="31.140625" bestFit="1" customWidth="1"/>
    <col min="1575" max="1575" width="24.7109375" bestFit="1" customWidth="1"/>
    <col min="1576" max="1576" width="33.5703125" bestFit="1" customWidth="1"/>
    <col min="1577" max="1577" width="27.85546875" bestFit="1" customWidth="1"/>
    <col min="1578" max="1580" width="12.140625" bestFit="1" customWidth="1"/>
    <col min="1581" max="1581" width="31.140625" bestFit="1" customWidth="1"/>
    <col min="1582" max="1582" width="36.7109375" bestFit="1" customWidth="1"/>
    <col min="1583" max="1583" width="28" bestFit="1" customWidth="1"/>
    <col min="1584" max="1584" width="27.85546875" bestFit="1" customWidth="1"/>
    <col min="1585" max="1587" width="12.140625" bestFit="1" customWidth="1"/>
    <col min="1588" max="1588" width="31.140625" bestFit="1" customWidth="1"/>
    <col min="1589" max="1589" width="11.140625" bestFit="1" customWidth="1"/>
    <col min="1590" max="1590" width="56.140625" bestFit="1" customWidth="1"/>
    <col min="1591" max="1591" width="27.85546875" bestFit="1" customWidth="1"/>
    <col min="1592" max="1592" width="10.42578125" bestFit="1" customWidth="1"/>
    <col min="1593" max="1594" width="12.140625" bestFit="1" customWidth="1"/>
    <col min="1595" max="1595" width="31.140625" bestFit="1" customWidth="1"/>
    <col min="1596" max="1596" width="59.42578125" bestFit="1" customWidth="1"/>
    <col min="1597" max="1597" width="38.5703125" bestFit="1" customWidth="1"/>
    <col min="1598" max="1598" width="27.85546875" bestFit="1" customWidth="1"/>
    <col min="1599" max="1599" width="10.42578125" bestFit="1" customWidth="1"/>
    <col min="1600" max="1601" width="12.140625" bestFit="1" customWidth="1"/>
    <col min="1602" max="1602" width="31.140625" bestFit="1" customWidth="1"/>
    <col min="1603" max="1603" width="41.7109375" bestFit="1" customWidth="1"/>
    <col min="1604" max="1604" width="29.28515625" bestFit="1" customWidth="1"/>
    <col min="1605" max="1605" width="27.85546875" bestFit="1" customWidth="1"/>
    <col min="1606" max="1608" width="12.140625" bestFit="1" customWidth="1"/>
    <col min="1609" max="1609" width="31.140625" bestFit="1" customWidth="1"/>
    <col min="1610" max="1610" width="32.42578125" bestFit="1" customWidth="1"/>
    <col min="1611" max="1611" width="28" bestFit="1" customWidth="1"/>
    <col min="1612" max="1612" width="27.85546875" bestFit="1" customWidth="1"/>
    <col min="1613" max="1615" width="12.140625" bestFit="1" customWidth="1"/>
    <col min="1616" max="1616" width="31.140625" bestFit="1" customWidth="1"/>
    <col min="1617" max="1617" width="23.5703125" bestFit="1" customWidth="1"/>
    <col min="1618" max="1618" width="28" bestFit="1" customWidth="1"/>
    <col min="1619" max="1619" width="27.85546875" bestFit="1" customWidth="1"/>
    <col min="1620" max="1622" width="12.140625" bestFit="1" customWidth="1"/>
    <col min="1623" max="1623" width="31.140625" bestFit="1" customWidth="1"/>
    <col min="1624" max="1624" width="13.42578125" bestFit="1" customWidth="1"/>
    <col min="1625" max="1625" width="31" bestFit="1" customWidth="1"/>
    <col min="1626" max="1626" width="27.85546875" bestFit="1" customWidth="1"/>
    <col min="1627" max="1627" width="10" bestFit="1" customWidth="1"/>
    <col min="1628" max="1629" width="12.140625" bestFit="1" customWidth="1"/>
    <col min="1630" max="1630" width="31.140625" bestFit="1" customWidth="1"/>
    <col min="1631" max="1631" width="34.28515625" bestFit="1" customWidth="1"/>
    <col min="1632" max="1632" width="28" bestFit="1" customWidth="1"/>
    <col min="1633" max="1633" width="27.85546875" bestFit="1" customWidth="1"/>
    <col min="1634" max="1636" width="12.140625" bestFit="1" customWidth="1"/>
    <col min="1637" max="1637" width="31.140625" bestFit="1" customWidth="1"/>
    <col min="1638" max="1638" width="12" bestFit="1" customWidth="1"/>
    <col min="1639" max="1639" width="29.7109375" bestFit="1" customWidth="1"/>
    <col min="1640" max="1640" width="27.85546875" bestFit="1" customWidth="1"/>
    <col min="1641" max="1641" width="8.140625" bestFit="1" customWidth="1"/>
    <col min="1642" max="1643" width="12.140625" bestFit="1" customWidth="1"/>
    <col min="1644" max="1644" width="31.140625" bestFit="1" customWidth="1"/>
    <col min="1645" max="1645" width="32.85546875" bestFit="1" customWidth="1"/>
    <col min="1646" max="1646" width="28" bestFit="1" customWidth="1"/>
    <col min="1647" max="1647" width="27.85546875" bestFit="1" customWidth="1"/>
    <col min="1648" max="1648" width="8.140625" bestFit="1" customWidth="1"/>
    <col min="1649" max="1650" width="12.140625" bestFit="1" customWidth="1"/>
    <col min="1651" max="1651" width="31.140625" bestFit="1" customWidth="1"/>
    <col min="1652" max="1652" width="26.140625" bestFit="1" customWidth="1"/>
    <col min="1653" max="1653" width="28" bestFit="1" customWidth="1"/>
    <col min="1654" max="1654" width="27.85546875" bestFit="1" customWidth="1"/>
    <col min="1655" max="1655" width="8.140625" bestFit="1" customWidth="1"/>
    <col min="1656" max="1656" width="12.140625" bestFit="1" customWidth="1"/>
    <col min="1657" max="1658" width="31.140625" bestFit="1" customWidth="1"/>
    <col min="1659" max="1659" width="26.42578125" bestFit="1" customWidth="1"/>
    <col min="1660" max="1660" width="32.42578125" bestFit="1" customWidth="1"/>
    <col min="1661" max="1661" width="27.85546875" bestFit="1" customWidth="1"/>
    <col min="1662" max="1662" width="7.7109375" bestFit="1" customWidth="1"/>
    <col min="1663" max="1664" width="12.140625" bestFit="1" customWidth="1"/>
    <col min="1665" max="1665" width="31.140625" bestFit="1" customWidth="1"/>
    <col min="1666" max="1666" width="35.5703125" bestFit="1" customWidth="1"/>
    <col min="1667" max="1667" width="28" bestFit="1" customWidth="1"/>
    <col min="1668" max="1668" width="27.85546875" bestFit="1" customWidth="1"/>
    <col min="1669" max="1671" width="12.140625" bestFit="1" customWidth="1"/>
    <col min="1672" max="1672" width="31.140625" bestFit="1" customWidth="1"/>
    <col min="1673" max="1673" width="28.140625" bestFit="1" customWidth="1"/>
    <col min="1674" max="1674" width="35.28515625" bestFit="1" customWidth="1"/>
    <col min="1675" max="1675" width="27.85546875" bestFit="1" customWidth="1"/>
    <col min="1676" max="1678" width="12.140625" bestFit="1" customWidth="1"/>
    <col min="1679" max="1679" width="31.140625" bestFit="1" customWidth="1"/>
    <col min="1680" max="1680" width="38.5703125" bestFit="1" customWidth="1"/>
    <col min="1681" max="1681" width="28" bestFit="1" customWidth="1"/>
    <col min="1682" max="1682" width="27.85546875" bestFit="1" customWidth="1"/>
    <col min="1683" max="1683" width="10.42578125" bestFit="1" customWidth="1"/>
    <col min="1684" max="1685" width="12.140625" bestFit="1" customWidth="1"/>
    <col min="1686" max="1686" width="31.140625" bestFit="1" customWidth="1"/>
    <col min="1687" max="1687" width="29" bestFit="1" customWidth="1"/>
    <col min="1688" max="1688" width="28" bestFit="1" customWidth="1"/>
    <col min="1689" max="1689" width="27.85546875" bestFit="1" customWidth="1"/>
    <col min="1690" max="1692" width="12.140625" bestFit="1" customWidth="1"/>
    <col min="1693" max="1693" width="31.140625" bestFit="1" customWidth="1"/>
    <col min="1694" max="1694" width="11" bestFit="1" customWidth="1"/>
    <col min="1695" max="1695" width="28" bestFit="1" customWidth="1"/>
    <col min="1696" max="1696" width="27.85546875" bestFit="1" customWidth="1"/>
    <col min="1697" max="1697" width="7.7109375" bestFit="1" customWidth="1"/>
    <col min="1698" max="1699" width="12.140625" bestFit="1" customWidth="1"/>
    <col min="1700" max="1700" width="31.140625" bestFit="1" customWidth="1"/>
    <col min="1701" max="1701" width="29.7109375" bestFit="1" customWidth="1"/>
    <col min="1702" max="1702" width="28" bestFit="1" customWidth="1"/>
    <col min="1703" max="1703" width="27.85546875" bestFit="1" customWidth="1"/>
    <col min="1704" max="1704" width="7.7109375" bestFit="1" customWidth="1"/>
    <col min="1705" max="1706" width="12.140625" bestFit="1" customWidth="1"/>
    <col min="1707" max="1707" width="31.140625" bestFit="1" customWidth="1"/>
    <col min="1708" max="1708" width="27" bestFit="1" customWidth="1"/>
    <col min="1709" max="1709" width="30.42578125" bestFit="1" customWidth="1"/>
    <col min="1710" max="1710" width="27.85546875" bestFit="1" customWidth="1"/>
    <col min="1711" max="1711" width="7.7109375" bestFit="1" customWidth="1"/>
    <col min="1712" max="1713" width="12.140625" bestFit="1" customWidth="1"/>
    <col min="1714" max="1714" width="31.140625" bestFit="1" customWidth="1"/>
    <col min="1715" max="1715" width="33.5703125" bestFit="1" customWidth="1"/>
    <col min="1716" max="1716" width="43.28515625" bestFit="1" customWidth="1"/>
    <col min="1717" max="1717" width="27.85546875" bestFit="1" customWidth="1"/>
    <col min="1718" max="1718" width="7.7109375" bestFit="1" customWidth="1"/>
    <col min="1719" max="1720" width="12.140625" bestFit="1" customWidth="1"/>
    <col min="1721" max="1721" width="31.140625" bestFit="1" customWidth="1"/>
    <col min="1722" max="1722" width="46.5703125" bestFit="1" customWidth="1"/>
    <col min="1723" max="1723" width="28" bestFit="1" customWidth="1"/>
    <col min="1724" max="1724" width="27.85546875" bestFit="1" customWidth="1"/>
    <col min="1725" max="1727" width="12.140625" bestFit="1" customWidth="1"/>
    <col min="1728" max="1728" width="31.140625" bestFit="1" customWidth="1"/>
    <col min="1729" max="1729" width="28.5703125" bestFit="1" customWidth="1"/>
    <col min="1730" max="1731" width="13.42578125" bestFit="1" customWidth="1"/>
  </cols>
  <sheetData>
    <row r="1" spans="1:10" ht="30.75" thickBot="1" x14ac:dyDescent="0.45">
      <c r="A1" s="135" t="s">
        <v>118</v>
      </c>
      <c r="B1" s="119" t="s">
        <v>119</v>
      </c>
      <c r="C1" s="120" t="s">
        <v>456</v>
      </c>
      <c r="D1" s="120" t="s">
        <v>457</v>
      </c>
      <c r="E1" s="121" t="s">
        <v>458</v>
      </c>
      <c r="F1" s="119" t="s">
        <v>1</v>
      </c>
      <c r="G1" s="122" t="s">
        <v>459</v>
      </c>
      <c r="H1" s="123" t="s">
        <v>460</v>
      </c>
      <c r="I1" s="124" t="s">
        <v>461</v>
      </c>
      <c r="J1" s="123" t="s">
        <v>462</v>
      </c>
    </row>
    <row r="2" spans="1:10" ht="24" thickBot="1" x14ac:dyDescent="0.4">
      <c r="A2" s="201"/>
      <c r="B2" s="201" t="s">
        <v>706</v>
      </c>
      <c r="C2" s="131" t="s">
        <v>463</v>
      </c>
      <c r="D2" s="125"/>
      <c r="E2" s="126"/>
      <c r="F2" s="127"/>
      <c r="G2" s="128">
        <v>1</v>
      </c>
      <c r="H2" s="129">
        <v>1</v>
      </c>
      <c r="I2" s="130" t="s">
        <v>464</v>
      </c>
      <c r="J2" s="130" t="s">
        <v>465</v>
      </c>
    </row>
    <row r="3" spans="1:10" ht="23.25" x14ac:dyDescent="0.35">
      <c r="A3" s="202" t="s">
        <v>210</v>
      </c>
      <c r="B3" s="203">
        <v>1</v>
      </c>
    </row>
    <row r="4" spans="1:10" ht="23.25" x14ac:dyDescent="0.35">
      <c r="A4" s="202" t="s">
        <v>212</v>
      </c>
      <c r="B4" s="203">
        <v>2</v>
      </c>
    </row>
    <row r="5" spans="1:10" ht="23.25" x14ac:dyDescent="0.35">
      <c r="A5" s="202" t="s">
        <v>211</v>
      </c>
      <c r="B5" s="203">
        <v>3</v>
      </c>
    </row>
    <row r="6" spans="1:10" ht="23.25" x14ac:dyDescent="0.35">
      <c r="A6" s="202" t="s">
        <v>213</v>
      </c>
      <c r="B6" s="203">
        <v>4</v>
      </c>
    </row>
    <row r="7" spans="1:10" ht="23.25" x14ac:dyDescent="0.35">
      <c r="A7" s="202" t="s">
        <v>216</v>
      </c>
      <c r="B7" s="203">
        <v>5</v>
      </c>
    </row>
    <row r="8" spans="1:10" ht="23.25" x14ac:dyDescent="0.35">
      <c r="A8" s="202" t="s">
        <v>217</v>
      </c>
      <c r="B8" s="203">
        <v>6</v>
      </c>
    </row>
    <row r="9" spans="1:10" ht="23.25" x14ac:dyDescent="0.35">
      <c r="A9" s="202" t="s">
        <v>218</v>
      </c>
      <c r="B9" s="203">
        <v>7</v>
      </c>
    </row>
    <row r="10" spans="1:10" ht="23.25" x14ac:dyDescent="0.35">
      <c r="A10" s="202" t="s">
        <v>220</v>
      </c>
      <c r="B10" s="203">
        <v>8</v>
      </c>
    </row>
    <row r="11" spans="1:10" ht="23.25" x14ac:dyDescent="0.35">
      <c r="A11" s="202" t="s">
        <v>222</v>
      </c>
      <c r="B11" s="203">
        <v>9</v>
      </c>
    </row>
    <row r="12" spans="1:10" ht="23.25" x14ac:dyDescent="0.35">
      <c r="A12" s="202" t="s">
        <v>223</v>
      </c>
      <c r="B12" s="203">
        <v>10</v>
      </c>
    </row>
    <row r="13" spans="1:10" ht="23.25" x14ac:dyDescent="0.35">
      <c r="A13" s="202" t="s">
        <v>225</v>
      </c>
      <c r="B13" s="203">
        <v>11</v>
      </c>
    </row>
    <row r="14" spans="1:10" ht="23.25" x14ac:dyDescent="0.35">
      <c r="A14" s="202" t="s">
        <v>227</v>
      </c>
      <c r="B14" s="203">
        <v>12</v>
      </c>
    </row>
    <row r="15" spans="1:10" ht="23.25" x14ac:dyDescent="0.35">
      <c r="A15" s="202" t="s">
        <v>228</v>
      </c>
      <c r="B15" s="203">
        <v>13</v>
      </c>
    </row>
    <row r="16" spans="1:10" ht="23.25" x14ac:dyDescent="0.35">
      <c r="A16" s="202" t="s">
        <v>229</v>
      </c>
      <c r="B16" s="203">
        <v>14</v>
      </c>
    </row>
    <row r="17" spans="1:2" ht="23.25" x14ac:dyDescent="0.35">
      <c r="A17" s="202" t="s">
        <v>231</v>
      </c>
      <c r="B17" s="203">
        <v>15</v>
      </c>
    </row>
    <row r="18" spans="1:2" ht="23.25" x14ac:dyDescent="0.35">
      <c r="A18" s="202" t="s">
        <v>232</v>
      </c>
      <c r="B18" s="203">
        <v>16</v>
      </c>
    </row>
    <row r="19" spans="1:2" ht="23.25" x14ac:dyDescent="0.35">
      <c r="A19" s="202" t="s">
        <v>118</v>
      </c>
      <c r="B19" s="203">
        <v>17</v>
      </c>
    </row>
    <row r="20" spans="1:2" ht="23.25" x14ac:dyDescent="0.35">
      <c r="A20" s="202" t="s">
        <v>233</v>
      </c>
      <c r="B20" s="203">
        <v>18</v>
      </c>
    </row>
    <row r="21" spans="1:2" ht="23.25" x14ac:dyDescent="0.35">
      <c r="A21"/>
    </row>
    <row r="22" spans="1:2" ht="24" thickBot="1" x14ac:dyDescent="0.4">
      <c r="A22"/>
    </row>
    <row r="23" spans="1:2" ht="24" thickBot="1" x14ac:dyDescent="0.4">
      <c r="A23"/>
    </row>
    <row r="24" spans="1:2" ht="24" thickBot="1" x14ac:dyDescent="0.4">
      <c r="A24"/>
    </row>
    <row r="25" spans="1:2" ht="24" thickBot="1" x14ac:dyDescent="0.4">
      <c r="A25"/>
    </row>
    <row r="26" spans="1:2" ht="24" thickBot="1" x14ac:dyDescent="0.4">
      <c r="A26"/>
    </row>
    <row r="27" spans="1:2" ht="24" thickBot="1" x14ac:dyDescent="0.4">
      <c r="A27"/>
    </row>
    <row r="28" spans="1:2" ht="24" thickBot="1" x14ac:dyDescent="0.4">
      <c r="A28"/>
    </row>
    <row r="29" spans="1:2" ht="23.25" x14ac:dyDescent="0.35">
      <c r="A29"/>
    </row>
    <row r="30" spans="1:2" ht="23.25" x14ac:dyDescent="0.35">
      <c r="A30"/>
    </row>
    <row r="31" spans="1:2" ht="23.25" x14ac:dyDescent="0.35">
      <c r="A31"/>
    </row>
    <row r="32" spans="1:2"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sheetData>
  <sortState xmlns:xlrd2="http://schemas.microsoft.com/office/spreadsheetml/2017/richdata2" ref="A2:B126">
    <sortCondition ref="B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8378-1A5B-4A42-BAD6-6AFAE7FE954F}">
  <dimension ref="A1:G145"/>
  <sheetViews>
    <sheetView workbookViewId="0">
      <selection activeCell="A2" sqref="A2"/>
    </sheetView>
  </sheetViews>
  <sheetFormatPr defaultRowHeight="15" x14ac:dyDescent="0.25"/>
  <cols>
    <col min="1" max="1" width="121.42578125" customWidth="1"/>
    <col min="7" max="7" width="63.85546875" customWidth="1"/>
  </cols>
  <sheetData>
    <row r="1" spans="1:7" x14ac:dyDescent="0.25">
      <c r="A1" t="str">
        <f>Anki!A2&amp;","&amp;Anki!B2&amp;","&amp;Anki!C2&amp;","&amp;Anki!D2&amp;","&amp;Anki!E2&amp;","&amp;Anki!F2&amp;","&amp;Anki!G2&amp;","&amp;Anki!H2&amp;","&amp;Anki!I2&amp;","&amp;Anki!J2</f>
        <v>J'ai invité un ami,I have invited a friend,[sound:rec1645544842.mp3],,,,1,1,Nga_Fr_Lessons-001-001,Nga::Fr::Lessons::001</v>
      </c>
    </row>
    <row r="2" spans="1:7" x14ac:dyDescent="0.25">
      <c r="A2" t="str">
        <f>Anki!A3&amp;","&amp;Anki!B3&amp;","&amp;Anki!C3&amp;","&amp;Anki!D3&amp;","&amp;Anki!E3&amp;","&amp;Anki!F3&amp;","&amp;Anki!G3&amp;","&amp;Anki!H3&amp;","&amp;Anki!I3&amp;","&amp;Anki!J3</f>
        <v>Tu as invité un ami,You have invited a friend,[sound:rec1645544856.mp3],,,,1,2,Nga_Fr_Lessons-001-002,Nga::Fr::Lessons::001</v>
      </c>
    </row>
    <row r="3" spans="1:7" ht="15" customHeight="1" x14ac:dyDescent="0.25">
      <c r="A3" t="str">
        <f>Anki!A4&amp;","&amp;Anki!B4&amp;","&amp;Anki!C4&amp;","&amp;Anki!D4&amp;","&amp;Anki!E4&amp;","&amp;Anki!F4&amp;","&amp;Anki!G4&amp;","&amp;Anki!H4&amp;","&amp;Anki!I4&amp;","&amp;Anki!J4</f>
        <v>As-tu invité un ami?,Have you invited a friend?,[sound:rec1645544867.mp3],,,inf., 2,1,3,Nga_Fr_Lessons-001-003,Nga::Fr::Lessons::001</v>
      </c>
      <c r="G3" s="249" t="s">
        <v>928</v>
      </c>
    </row>
    <row r="4" spans="1:7" x14ac:dyDescent="0.25">
      <c r="A4" t="str">
        <f>Anki!A5&amp;","&amp;Anki!B5&amp;","&amp;Anki!C5&amp;","&amp;Anki!D5&amp;","&amp;Anki!E5&amp;","&amp;Anki!F5&amp;","&amp;Anki!G5&amp;","&amp;Anki!H5&amp;","&amp;Anki!I5&amp;","&amp;Anki!J5</f>
        <v>Tu as invité un ami?,Have you invited a friend?,[sound:rec1645544873.mp3],,,inf., 1,1,4,Nga_Fr_Lessons-001-004,Nga::Fr::Lessons::001</v>
      </c>
    </row>
    <row r="5" spans="1:7" x14ac:dyDescent="0.25">
      <c r="A5" t="str">
        <f>Anki!A6&amp;","&amp;Anki!B6&amp;","&amp;Anki!C6&amp;","&amp;Anki!D6&amp;","&amp;Anki!E6&amp;","&amp;Anki!F6&amp;","&amp;Anki!G6&amp;","&amp;Anki!H6&amp;","&amp;Anki!I6&amp;","&amp;Anki!J6</f>
        <v>J'ai confirmé le meeting avec Ben,I have confirmed the meeting with Ben,[sound:rec1645545058.mp3],,,,1,5,Nga_Fr_Lessons-001-005,Nga::Fr::Lessons::001</v>
      </c>
    </row>
    <row r="6" spans="1:7" ht="15" customHeight="1" x14ac:dyDescent="0.25">
      <c r="A6" t="str">
        <f>Anki!A7&amp;","&amp;Anki!B7&amp;","&amp;Anki!C7&amp;","&amp;Anki!D7&amp;","&amp;Anki!E7&amp;","&amp;Anki!F7&amp;","&amp;Anki!G7&amp;","&amp;Anki!H7&amp;","&amp;Anki!I7&amp;","&amp;Anki!J7</f>
        <v>J'ai visité Hanoi avec un ami,I have visited Hanoi with a friend,[sound:rec1645544930.mp3],,,,1,6,Nga_Fr_Lessons-001-006,Nga::Fr::Lessons::001</v>
      </c>
      <c r="G6" s="247" t="s">
        <v>927</v>
      </c>
    </row>
    <row r="7" spans="1:7" x14ac:dyDescent="0.25">
      <c r="A7" t="str">
        <f>Anki!A8&amp;","&amp;Anki!B8&amp;","&amp;Anki!C8&amp;","&amp;Anki!D8&amp;","&amp;Anki!E8&amp;","&amp;Anki!F8&amp;","&amp;Anki!G8&amp;","&amp;Anki!H8&amp;","&amp;Anki!I8&amp;","&amp;Anki!J8</f>
        <v>J'ai preparé le café pour toi,I have prepared coffee for you,[sound:rec1645544942.mp3],,,,1,7,Nga_Fr_Lessons-001-007,Nga::Fr::Lessons::001</v>
      </c>
      <c r="G7" s="248"/>
    </row>
    <row r="8" spans="1:7" x14ac:dyDescent="0.25">
      <c r="A8" t="str">
        <f>Anki!A9&amp;","&amp;Anki!B9&amp;","&amp;Anki!C9&amp;","&amp;Anki!D9&amp;","&amp;Anki!E9&amp;","&amp;Anki!F9&amp;","&amp;Anki!G9&amp;","&amp;Anki!H9&amp;","&amp;Anki!I9&amp;","&amp;Anki!J9</f>
        <v>Tu as preparé le café pour moi?,Have you prepared the coffee for me?,[sound:rec1645544953.mp3],,,,1,8,Nga_Fr_Lessons-001-008,Nga::Fr::Lessons::001</v>
      </c>
    </row>
    <row r="9" spans="1:7" x14ac:dyDescent="0.25">
      <c r="A9" t="str">
        <f>Anki!A10&amp;","&amp;Anki!B10&amp;","&amp;Anki!C10&amp;","&amp;Anki!D10&amp;","&amp;Anki!E10&amp;","&amp;Anki!F10&amp;","&amp;Anki!G10&amp;","&amp;Anki!H10&amp;","&amp;Anki!I10&amp;","&amp;Anki!J10</f>
        <v>Tu as visité Hanoi (avec un ami)?,Have you visited Hanoi with a friend?,[sound:rec1645544966.mp3],,,,1,9,Nga_Fr_Lessons-001-009,Nga::Fr::Lessons::001</v>
      </c>
    </row>
    <row r="10" spans="1:7" x14ac:dyDescent="0.25">
      <c r="A10" t="str">
        <f>Anki!A11&amp;","&amp;Anki!B11&amp;","&amp;Anki!C11&amp;","&amp;Anki!D11&amp;","&amp;Anki!E11&amp;","&amp;Anki!F11&amp;","&amp;Anki!G11&amp;","&amp;Anki!H11&amp;","&amp;Anki!I11&amp;","&amp;Anki!J11</f>
        <v>Tu as preparé le meeting avec Ben?,Have you prepared the meeting with Ben?,[sound:rec1645545970.mp3],,,,1,10,Nga_Fr_Lessons-001-010,Nga::Fr::Lessons::001</v>
      </c>
    </row>
    <row r="11" spans="1:7" x14ac:dyDescent="0.25">
      <c r="A11" t="str">
        <f>Anki!A12&amp;","&amp;Anki!B12&amp;","&amp;Anki!C12&amp;","&amp;Anki!D12&amp;","&amp;Anki!E12&amp;","&amp;Anki!F12&amp;","&amp;Anki!G12&amp;","&amp;Anki!H12&amp;","&amp;Anki!I12&amp;","&amp;Anki!J12</f>
        <v>J'ai réservé une table pour deux,I have booked (reserved) a table for two,[sound:rec1645715004.mp3],,,,2,1,Nga_Fr_Lessons-002-001,Nga::Fr::Lessons::002</v>
      </c>
    </row>
    <row r="12" spans="1:7" x14ac:dyDescent="0.25">
      <c r="A12" t="str">
        <f>Anki!A13&amp;","&amp;Anki!B13&amp;","&amp;Anki!C13&amp;","&amp;Anki!D13&amp;","&amp;Anki!E13&amp;","&amp;Anki!F13&amp;","&amp;Anki!G13&amp;","&amp;Anki!H13&amp;","&amp;Anki!I13&amp;","&amp;Anki!J13</f>
        <v>Tu as réservé une table pour le diner?,Have you booked (reserved) a table for dinner?,[sound:rec1645715024.mp3],,,,2,2,Nga_Fr_Lessons-002-002,Nga::Fr::Lessons::002</v>
      </c>
    </row>
    <row r="13" spans="1:7" x14ac:dyDescent="0.25">
      <c r="A13" t="str">
        <f>Anki!A14&amp;","&amp;Anki!B14&amp;","&amp;Anki!C14&amp;","&amp;Anki!D14&amp;","&amp;Anki!E14&amp;","&amp;Anki!F14&amp;","&amp;Anki!G14&amp;","&amp;Anki!H14&amp;","&amp;Anki!I14&amp;","&amp;Anki!J14</f>
        <v>Il a réservé une table,He has booked (reserved) a table,[sound:rec1645715062.mp3],,,,2,3,Nga_Fr_Lessons-002-003,Nga::Fr::Lessons::002</v>
      </c>
    </row>
    <row r="14" spans="1:7" x14ac:dyDescent="0.25">
      <c r="A14" t="str">
        <f>Anki!A15&amp;","&amp;Anki!B15&amp;","&amp;Anki!C15&amp;","&amp;Anki!D15&amp;","&amp;Anki!E15&amp;","&amp;Anki!F15&amp;","&amp;Anki!G15&amp;","&amp;Anki!H15&amp;","&amp;Anki!I15&amp;","&amp;Anki!J15</f>
        <v>Elle a réservé une table,She has booked (reserved) a table,[sound:rec1645715068.mp3],,,,2,4,Nga_Fr_Lessons-002-004,Nga::Fr::Lessons::002</v>
      </c>
    </row>
    <row r="15" spans="1:7" x14ac:dyDescent="0.25">
      <c r="A15" t="str">
        <f>Anki!A16&amp;","&amp;Anki!B16&amp;","&amp;Anki!C16&amp;","&amp;Anki!D16&amp;","&amp;Anki!E16&amp;","&amp;Anki!F16&amp;","&amp;Anki!G16&amp;","&amp;Anki!H16&amp;","&amp;Anki!I16&amp;","&amp;Anki!J16</f>
        <v>Mon ami a preparé le café pour moi,My friend has prepared the coffee for me,[sound:rec1645715077.mp3],,,,2,5,Nga_Fr_Lessons-002-005,Nga::Fr::Lessons::002</v>
      </c>
    </row>
    <row r="16" spans="1:7" x14ac:dyDescent="0.25">
      <c r="A16" t="str">
        <f>Anki!A17&amp;","&amp;Anki!B17&amp;","&amp;Anki!C17&amp;","&amp;Anki!D17&amp;","&amp;Anki!E17&amp;","&amp;Anki!F17&amp;","&amp;Anki!G17&amp;","&amp;Anki!H17&amp;","&amp;Anki!I17&amp;","&amp;Anki!J17</f>
        <v>Mon ami a visité Hanoi et mon chien a visité Taipei,My friend has visited Hanoi and my dog has visited Taipei,[sound:rec1645715089.mp3],,,,2,6,Nga_Fr_Lessons-002-006,Nga::Fr::Lessons::002</v>
      </c>
    </row>
    <row r="17" spans="1:1" x14ac:dyDescent="0.25">
      <c r="A17" t="str">
        <f>Anki!A18&amp;","&amp;Anki!B18&amp;","&amp;Anki!C18&amp;","&amp;Anki!D18&amp;","&amp;Anki!E18&amp;","&amp;Anki!F18&amp;","&amp;Anki!G18&amp;","&amp;Anki!H18&amp;","&amp;Anki!I18&amp;","&amp;Anki!J18</f>
        <v>Préparation,Preparation,[sound:rec1645715113.mp3],,,,2,7,Nga_Fr_Lessons-002-007,Nga::Fr::Lessons::002</v>
      </c>
    </row>
    <row r="18" spans="1:1" x14ac:dyDescent="0.25">
      <c r="A18" t="str">
        <f>Anki!A19&amp;","&amp;Anki!B19&amp;","&amp;Anki!C19&amp;","&amp;Anki!D19&amp;","&amp;Anki!E19&amp;","&amp;Anki!F19&amp;","&amp;Anki!G19&amp;","&amp;Anki!H19&amp;","&amp;Anki!I19&amp;","&amp;Anki!J19</f>
        <v>Invitation,Invitation,[sound:rec1645715118.mp3],,,,2,8,Nga_Fr_Lessons-002-008,Nga::Fr::Lessons::002</v>
      </c>
    </row>
    <row r="19" spans="1:1" x14ac:dyDescent="0.25">
      <c r="A19" t="str">
        <f>Anki!A20&amp;","&amp;Anki!B20&amp;","&amp;Anki!C20&amp;","&amp;Anki!D20&amp;","&amp;Anki!E20&amp;","&amp;Anki!F20&amp;","&amp;Anki!G20&amp;","&amp;Anki!H20&amp;","&amp;Anki!I20&amp;","&amp;Anki!J20</f>
        <v>Réservation,Reservation,[sound:rec1645715122.mp3],,,,2,9,Nga_Fr_Lessons-002-009,Nga::Fr::Lessons::002</v>
      </c>
    </row>
    <row r="20" spans="1:1" x14ac:dyDescent="0.25">
      <c r="A20" t="str">
        <f>Anki!A21&amp;","&amp;Anki!B21&amp;","&amp;Anki!C21&amp;","&amp;Anki!D21&amp;","&amp;Anki!E21&amp;","&amp;Anki!F21&amp;","&amp;Anki!G21&amp;","&amp;Anki!H21&amp;","&amp;Anki!I21&amp;","&amp;Anki!J21</f>
        <v>Décoration,Decoration,[sound:rec1645715127.mp3],,,,2,10,Nga_Fr_Lessons-002-010,Nga::Fr::Lessons::002</v>
      </c>
    </row>
    <row r="21" spans="1:1" x14ac:dyDescent="0.25">
      <c r="A21" t="str">
        <f>Anki!A22&amp;","&amp;Anki!B22&amp;","&amp;Anki!C22&amp;","&amp;Anki!D22&amp;","&amp;Anki!E22&amp;","&amp;Anki!F22&amp;","&amp;Anki!G22&amp;","&amp;Anki!H22&amp;","&amp;Anki!I22&amp;","&amp;Anki!J22</f>
        <v>Confirmation,Confirmation,[sound:rec1645715131.mp3],,,,2,11,Nga_Fr_Lessons-002-011,Nga::Fr::Lessons::002</v>
      </c>
    </row>
    <row r="22" spans="1:1" x14ac:dyDescent="0.25">
      <c r="A22" t="str">
        <f>Anki!A23&amp;","&amp;Anki!B23&amp;","&amp;Anki!C23&amp;","&amp;Anki!D23&amp;","&amp;Anki!E23&amp;","&amp;Anki!F23&amp;","&amp;Anki!G23&amp;","&amp;Anki!H23&amp;","&amp;Anki!I23&amp;","&amp;Anki!J23</f>
        <v>J'ai invité un ami au restaurant,I have invited a friend to the restaurant,[sound:rec1645715139.mp3],,,,2,12,Nga_Fr_Lessons-002-012,Nga::Fr::Lessons::002</v>
      </c>
    </row>
    <row r="23" spans="1:1" x14ac:dyDescent="0.25">
      <c r="A23" t="str">
        <f>Anki!A24&amp;","&amp;Anki!B24&amp;","&amp;Anki!C24&amp;","&amp;Anki!D24&amp;","&amp;Anki!E24&amp;","&amp;Anki!F24&amp;","&amp;Anki!G24&amp;","&amp;Anki!H24&amp;","&amp;Anki!I24&amp;","&amp;Anki!J24</f>
        <v>Je voudrais inviter un ami,I would like to invite a friend,[sound:rec1645715147.mp3],,,,2,13,Nga_Fr_Lessons-002-013,Nga::Fr::Lessons::002</v>
      </c>
    </row>
    <row r="24" spans="1:1" x14ac:dyDescent="0.25">
      <c r="A24" t="str">
        <f>Anki!A25&amp;","&amp;Anki!B25&amp;","&amp;Anki!C25&amp;","&amp;Anki!D25&amp;","&amp;Anki!E25&amp;","&amp;Anki!F25&amp;","&amp;Anki!G25&amp;","&amp;Anki!H25&amp;","&amp;Anki!I25&amp;","&amp;Anki!J25</f>
        <v>Je voudrais preparer le diner parce que j'ai faim,I would like to prepare the dinner because I'm hungry,[sound:rec1645715156.mp3],,,,2,14,Nga_Fr_Lessons-002-014,Nga::Fr::Lessons::002</v>
      </c>
    </row>
    <row r="25" spans="1:1" x14ac:dyDescent="0.25">
      <c r="A25" t="str">
        <f>Anki!A26&amp;","&amp;Anki!B26&amp;","&amp;Anki!C26&amp;","&amp;Anki!D26&amp;","&amp;Anki!E26&amp;","&amp;Anki!F26&amp;","&amp;Anki!G26&amp;","&amp;Anki!H26&amp;","&amp;Anki!I26&amp;","&amp;Anki!J26</f>
        <v>Je voudrais preparer le café parce que j'ai soif,I would like to prepare the coffee because I'm thirsty,[sound:rec1645715166.mp3],,,,2,15,Nga_Fr_Lessons-002-015,Nga::Fr::Lessons::002</v>
      </c>
    </row>
    <row r="26" spans="1:1" x14ac:dyDescent="0.25">
      <c r="A26" t="str">
        <f>Anki!A27&amp;","&amp;Anki!B27&amp;","&amp;Anki!C27&amp;","&amp;Anki!D27&amp;","&amp;Anki!E27&amp;","&amp;Anki!F27&amp;","&amp;Anki!G27&amp;","&amp;Anki!H27&amp;","&amp;Anki!I27&amp;","&amp;Anki!J27</f>
        <v>Je voudrais réserver pour ce soir,I would like to book for tonight,[sound:rec1646063577.mp3],,,,3,1,Nga_Fr_Lessons-003-001,Nga::Fr::Lessons::003</v>
      </c>
    </row>
    <row r="27" spans="1:1" x14ac:dyDescent="0.25">
      <c r="A27" t="str">
        <f>Anki!A28&amp;","&amp;Anki!B28&amp;","&amp;Anki!C28&amp;","&amp;Anki!D28&amp;","&amp;Anki!E28&amp;","&amp;Anki!F28&amp;","&amp;Anki!G28&amp;","&amp;Anki!H28&amp;","&amp;Anki!I28&amp;","&amp;Anki!J28</f>
        <v>J'ai réservé une table pour ce soir pour deux personnes,I have booked a table for tonight for two people,[sound:rec1646063588.mp3],,,,3,2,Nga_Fr_Lessons-003-002,Nga::Fr::Lessons::003</v>
      </c>
    </row>
    <row r="28" spans="1:1" x14ac:dyDescent="0.25">
      <c r="A28" t="str">
        <f>Anki!A29&amp;","&amp;Anki!B29&amp;","&amp;Anki!C29&amp;","&amp;Anki!D29&amp;","&amp;Anki!E29&amp;","&amp;Anki!F29&amp;","&amp;Anki!G29&amp;","&amp;Anki!H29&amp;","&amp;Anki!I29&amp;","&amp;Anki!J29</f>
        <v>Voulez-vous reserver une table pour ce soir?,Do you want to book a table for tonight?,[sound:rec1646063598.mp3],,,form., 2,3,3,Nga_Fr_Lessons-003-003,Nga::Fr::Lessons::003</v>
      </c>
    </row>
    <row r="29" spans="1:1" x14ac:dyDescent="0.25">
      <c r="A29" t="str">
        <f>Anki!A30&amp;","&amp;Anki!B30&amp;","&amp;Anki!C30&amp;","&amp;Anki!D30&amp;","&amp;Anki!E30&amp;","&amp;Anki!F30&amp;","&amp;Anki!G30&amp;","&amp;Anki!H30&amp;","&amp;Anki!I30&amp;","&amp;Anki!J30</f>
        <v>Voulez-vous visiter Hanoi?,Do you want to visit Hanoi?,[sound:rec1646063606.mp3],,,form., 2,3,4,Nga_Fr_Lessons-003-004,Nga::Fr::Lessons::003</v>
      </c>
    </row>
    <row r="30" spans="1:1" x14ac:dyDescent="0.25">
      <c r="A30" t="str">
        <f>Anki!A31&amp;","&amp;Anki!B31&amp;","&amp;Anki!C31&amp;","&amp;Anki!D31&amp;","&amp;Anki!E31&amp;","&amp;Anki!F31&amp;","&amp;Anki!G31&amp;","&amp;Anki!H31&amp;","&amp;Anki!I31&amp;","&amp;Anki!J31</f>
        <v>Typique,Typical,[sound:rec1646063611.mp3],,,,3,5,Nga_Fr_Lessons-003-005,Nga::Fr::Lessons::003</v>
      </c>
    </row>
    <row r="31" spans="1:1" x14ac:dyDescent="0.25">
      <c r="A31" t="str">
        <f>Anki!A32&amp;","&amp;Anki!B32&amp;","&amp;Anki!C32&amp;","&amp;Anki!D32&amp;","&amp;Anki!E32&amp;","&amp;Anki!F32&amp;","&amp;Anki!G32&amp;","&amp;Anki!H32&amp;","&amp;Anki!I32&amp;","&amp;Anki!J32</f>
        <v>Exotique,Exotic,[sound:rec1646063615.mp3],,,,3,6,Nga_Fr_Lessons-003-006,Nga::Fr::Lessons::003</v>
      </c>
    </row>
    <row r="32" spans="1:1" x14ac:dyDescent="0.25">
      <c r="A32" t="str">
        <f>Anki!A33&amp;","&amp;Anki!B33&amp;","&amp;Anki!C33&amp;","&amp;Anki!D33&amp;","&amp;Anki!E33&amp;","&amp;Anki!F33&amp;","&amp;Anki!G33&amp;","&amp;Anki!H33&amp;","&amp;Anki!I33&amp;","&amp;Anki!J33</f>
        <v>Politique,Political,[sound:rec1646063619.mp3],,,,3,7,Nga_Fr_Lessons-003-007,Nga::Fr::Lessons::003</v>
      </c>
    </row>
    <row r="33" spans="1:1" x14ac:dyDescent="0.25">
      <c r="A33" t="str">
        <f>Anki!A34&amp;","&amp;Anki!B34&amp;","&amp;Anki!C34&amp;","&amp;Anki!D34&amp;","&amp;Anki!E34&amp;","&amp;Anki!F34&amp;","&amp;Anki!G34&amp;","&amp;Anki!H34&amp;","&amp;Anki!I34&amp;","&amp;Anki!J34</f>
        <v>Romantic,Romantic,[sound:rec1646063622.mp3],,,,3,8,Nga_Fr_Lessons-003-008,Nga::Fr::Lessons::003</v>
      </c>
    </row>
    <row r="34" spans="1:1" x14ac:dyDescent="0.25">
      <c r="A34" t="str">
        <f>Anki!A35&amp;","&amp;Anki!B35&amp;","&amp;Anki!C35&amp;","&amp;Anki!D35&amp;","&amp;Anki!E35&amp;","&amp;Anki!F35&amp;","&amp;Anki!G35&amp;","&amp;Anki!H35&amp;","&amp;Anki!I35&amp;","&amp;Anki!J35</f>
        <v>Pratique,Convenient ('Practical'),[sound:rec1646063626.mp3],,,,3,9,Nga_Fr_Lessons-003-009,Nga::Fr::Lessons::003</v>
      </c>
    </row>
    <row r="35" spans="1:1" x14ac:dyDescent="0.25">
      <c r="A35" t="str">
        <f>Anki!A36&amp;","&amp;Anki!B36&amp;","&amp;Anki!C36&amp;","&amp;Anki!D36&amp;","&amp;Anki!E36&amp;","&amp;Anki!F36&amp;","&amp;Anki!G36&amp;","&amp;Anki!H36&amp;","&amp;Anki!I36&amp;","&amp;Anki!J36</f>
        <v>Parce que,Because,[sound:rec1646063643.mp3],,,,3,10,Nga_Fr_Lessons-003-010,Nga::Fr::Lessons::003</v>
      </c>
    </row>
    <row r="36" spans="1:1" x14ac:dyDescent="0.25">
      <c r="A36" t="str">
        <f>Anki!A37&amp;","&amp;Anki!B37&amp;","&amp;Anki!C37&amp;","&amp;Anki!D37&amp;","&amp;Anki!E37&amp;","&amp;Anki!F37&amp;","&amp;Anki!G37&amp;","&amp;Anki!H37&amp;","&amp;Anki!I37&amp;","&amp;Anki!J37</f>
        <v>Je voudrais visiter Paris parce que c'est exotique,I would like to visit Paris because it's exotic,[sound:rec1646063652.mp3],,,,3,11,Nga_Fr_Lessons-003-011,Nga::Fr::Lessons::003</v>
      </c>
    </row>
    <row r="37" spans="1:1" x14ac:dyDescent="0.25">
      <c r="A37" t="str">
        <f>Anki!A38&amp;","&amp;Anki!B38&amp;","&amp;Anki!C38&amp;","&amp;Anki!D38&amp;","&amp;Anki!E38&amp;","&amp;Anki!F38&amp;","&amp;Anki!G38&amp;","&amp;Anki!H38&amp;","&amp;Anki!I38&amp;","&amp;Anki!J38</f>
        <v>Est-ce que tu as preparé le café pour moi?,Have you prepared the coffee for me?,[sound:rec1646063661.mp3],,,inf., 3,3,12,Nga_Fr_Lessons-003-012,Nga::Fr::Lessons::003</v>
      </c>
    </row>
    <row r="38" spans="1:1" x14ac:dyDescent="0.25">
      <c r="A38" t="str">
        <f>Anki!A39&amp;","&amp;Anki!B39&amp;","&amp;Anki!C39&amp;","&amp;Anki!D39&amp;","&amp;Anki!E39&amp;","&amp;Anki!F39&amp;","&amp;Anki!G39&amp;","&amp;Anki!H39&amp;","&amp;Anki!I39&amp;","&amp;Anki!J39</f>
        <v>Est-ce que c'est pratique?,Is it convenient?,[sound:rec1646063667.mp3],,,3,3,13,Nga_Fr_Lessons-003-013,Nga::Fr::Lessons::003</v>
      </c>
    </row>
    <row r="39" spans="1:1" x14ac:dyDescent="0.25">
      <c r="A39" t="str">
        <f>Anki!A40&amp;","&amp;Anki!B40&amp;","&amp;Anki!C40&amp;","&amp;Anki!D40&amp;","&amp;Anki!E40&amp;","&amp;Anki!F40&amp;","&amp;Anki!G40&amp;","&amp;Anki!H40&amp;","&amp;Anki!I40&amp;","&amp;Anki!J40</f>
        <v>Je voudrais aller à Paris,I would like to go to Paris,[sound:rec1646063673.mp3],,,,3,14,Nga_Fr_Lessons-003-014,Nga::Fr::Lessons::003</v>
      </c>
    </row>
    <row r="40" spans="1:1" x14ac:dyDescent="0.25">
      <c r="A40" t="str">
        <f>Anki!A41&amp;","&amp;Anki!B41&amp;","&amp;Anki!C41&amp;","&amp;Anki!D41&amp;","&amp;Anki!E41&amp;","&amp;Anki!F41&amp;","&amp;Anki!G41&amp;","&amp;Anki!H41&amp;","&amp;Anki!I41&amp;","&amp;Anki!J41</f>
        <v>Je voudrais aller à ce café, est-ce qu'il est typique?,I would like to go to this coffee shop, is it typical?,[sound:rec1646063687.mp3],,,,3,15,Nga_Fr_Lessons-003-015,Nga::Fr::Lessons::003</v>
      </c>
    </row>
    <row r="41" spans="1:1" x14ac:dyDescent="0.25">
      <c r="A41" t="str">
        <f>Anki!A42&amp;","&amp;Anki!B42&amp;","&amp;Anki!C42&amp;","&amp;Anki!D42&amp;","&amp;Anki!E42&amp;","&amp;Anki!F42&amp;","&amp;Anki!G42&amp;","&amp;Anki!H42&amp;","&amp;Anki!I42&amp;","&amp;Anki!J42</f>
        <v>Savoir,To know,[sound:rec1646063701.mp3],,,,3,16,Nga_Fr_Lessons-003-016,Nga::Fr::Lessons::003</v>
      </c>
    </row>
    <row r="42" spans="1:1" x14ac:dyDescent="0.25">
      <c r="A42" t="str">
        <f>Anki!A43&amp;","&amp;Anki!B43&amp;","&amp;Anki!C43&amp;","&amp;Anki!D43&amp;","&amp;Anki!E43&amp;","&amp;Anki!F43&amp;","&amp;Anki!G43&amp;","&amp;Anki!H43&amp;","&amp;Anki!I43&amp;","&amp;Anki!J43</f>
        <v>Je voudrais savoir si c'est pratique,I'd like to know if it's convenient,[sound:rec1646063707.mp3],,,,3,17,Nga_Fr_Lessons-003-017,Nga::Fr::Lessons::003</v>
      </c>
    </row>
    <row r="43" spans="1:1" x14ac:dyDescent="0.25">
      <c r="A43" t="str">
        <f>Anki!A44&amp;","&amp;Anki!B44&amp;","&amp;Anki!C44&amp;","&amp;Anki!D44&amp;","&amp;Anki!E44&amp;","&amp;Anki!F44&amp;","&amp;Anki!G44&amp;","&amp;Anki!H44&amp;","&amp;Anki!I44&amp;","&amp;Anki!J44</f>
        <v>Voulez-vous reserver un table? Oui, mais je voudrais savoir si c'est pratique,Do you want to book a table? Yes, but I would like to know if it's convenient,[sound:rec1646063719.mp3],,,form., 2,3,18,Nga_Fr_Lessons-003-018,Nga::Fr::Lessons::003</v>
      </c>
    </row>
    <row r="44" spans="1:1" x14ac:dyDescent="0.25">
      <c r="A44" t="str">
        <f>Anki!A45&amp;","&amp;Anki!B45&amp;","&amp;Anki!C45&amp;","&amp;Anki!D45&amp;","&amp;Anki!E45&amp;","&amp;Anki!F45&amp;","&amp;Anki!G45&amp;","&amp;Anki!H45&amp;","&amp;Anki!I45&amp;","&amp;Anki!J45</f>
        <v>Est-ce que vous voulez reserver un table?,Do you want to book a table? (form., 3),[sound:rec1646063738.mp3],,,,3,19,Nga_Fr_Lessons-003-019,Nga::Fr::Lessons::003</v>
      </c>
    </row>
    <row r="45" spans="1:1" x14ac:dyDescent="0.25">
      <c r="A45" t="str">
        <f>Anki!A46&amp;","&amp;Anki!B46&amp;","&amp;Anki!C46&amp;","&amp;Anki!D46&amp;","&amp;Anki!E46&amp;","&amp;Anki!F46&amp;","&amp;Anki!G46&amp;","&amp;Anki!H46&amp;","&amp;Anki!I46&amp;","&amp;Anki!J46</f>
        <v>Pourquoi?,Why?,[sound:rec1646063744.mp3],,,,3,20,Nga_Fr_Lessons-003-020,Nga::Fr::Lessons::003</v>
      </c>
    </row>
    <row r="46" spans="1:1" x14ac:dyDescent="0.25">
      <c r="A46" t="str">
        <f>Anki!A47&amp;","&amp;Anki!B47&amp;","&amp;Anki!C47&amp;","&amp;Anki!D47&amp;","&amp;Anki!E47&amp;","&amp;Anki!F47&amp;","&amp;Anki!G47&amp;","&amp;Anki!H47&amp;","&amp;Anki!I47&amp;","&amp;Anki!J47</f>
        <v>Désolé!/Désolée!,Sorry!,[sound:rec1646063747.mp3],,,,3,21,Nga_Fr_Lessons-003-021,Nga::Fr::Lessons::003</v>
      </c>
    </row>
    <row r="47" spans="1:1" x14ac:dyDescent="0.25">
      <c r="A47" t="str">
        <f>Anki!A48&amp;","&amp;Anki!B48&amp;","&amp;Anki!C48&amp;","&amp;Anki!D48&amp;","&amp;Anki!E48&amp;","&amp;Anki!F48&amp;","&amp;Anki!G48&amp;","&amp;Anki!H48&amp;","&amp;Anki!I48&amp;","&amp;Anki!J48</f>
        <v>Ce n'est pas,It's not ("this is not"),[sound:rec1646923056.mp3],[sound:rec1646923070.mp3],,sandwich,4,1,Nga_Fr_Lessons-004-001,Nga::Fr::Lessons::004</v>
      </c>
    </row>
    <row r="48" spans="1:1" x14ac:dyDescent="0.25">
      <c r="A48" t="str">
        <f>Anki!A49&amp;","&amp;Anki!B49&amp;","&amp;Anki!C49&amp;","&amp;Anki!D49&amp;","&amp;Anki!E49&amp;","&amp;Anki!F49&amp;","&amp;Anki!G49&amp;","&amp;Anki!H49&amp;","&amp;Anki!I49&amp;","&amp;Anki!J49</f>
        <v>C'est pas,It's not ("this is not"),[sound:rec1646923080.mp3],,,sushi,4,2,Nga_Fr_Lessons-004-002,Nga::Fr::Lessons::004</v>
      </c>
    </row>
    <row r="49" spans="1:1" x14ac:dyDescent="0.25">
      <c r="A49" t="str">
        <f>Anki!A50&amp;","&amp;Anki!B50&amp;","&amp;Anki!C50&amp;","&amp;Anki!D50&amp;","&amp;Anki!E50&amp;","&amp;Anki!F50&amp;","&amp;Anki!G50&amp;","&amp;Anki!H50&amp;","&amp;Anki!I50&amp;","&amp;Anki!J50</f>
        <v>Non, c'est pas pratique,No, it's not convenient,[sound:rec1646923085.mp3],,,sushi,4,3,Nga_Fr_Lessons-004-003,Nga::Fr::Lessons::004</v>
      </c>
    </row>
    <row r="50" spans="1:1" x14ac:dyDescent="0.25">
      <c r="A50" t="str">
        <f>Anki!A51&amp;","&amp;Anki!B51&amp;","&amp;Anki!C51&amp;","&amp;Anki!D51&amp;","&amp;Anki!E51&amp;","&amp;Anki!F51&amp;","&amp;Anki!G51&amp;","&amp;Anki!H51&amp;","&amp;Anki!I51&amp;","&amp;Anki!J51</f>
        <v>Je voudrais allez a Paris, mais c'est pas pratique,I would like to go to Paris, but it's not convenient,[sound:rec1646923091.mp3],,,sushi,4,4,Nga_Fr_Lessons-004-004,Nga::Fr::Lessons::004</v>
      </c>
    </row>
    <row r="51" spans="1:1" x14ac:dyDescent="0.25">
      <c r="A51" t="str">
        <f>Anki!A52&amp;","&amp;Anki!B52&amp;","&amp;Anki!C52&amp;","&amp;Anki!D52&amp;","&amp;Anki!E52&amp;","&amp;Anki!F52&amp;","&amp;Anki!G52&amp;","&amp;Anki!H52&amp;","&amp;Anki!I52&amp;","&amp;Anki!J52</f>
        <v>Pourquoi c'est pas pratique?,Why is it not convenient?,[sound:rec1646923097.mp3],,,sushi,4,5,Nga_Fr_Lessons-004-005,Nga::Fr::Lessons::004</v>
      </c>
    </row>
    <row r="52" spans="1:1" x14ac:dyDescent="0.25">
      <c r="A52" t="str">
        <f>Anki!A53&amp;","&amp;Anki!B53&amp;","&amp;Anki!C53&amp;","&amp;Anki!D53&amp;","&amp;Anki!E53&amp;","&amp;Anki!F53&amp;","&amp;Anki!G53&amp;","&amp;Anki!H53&amp;","&amp;Anki!I53&amp;","&amp;Anki!J53</f>
        <v>Je voudrais savoir pourquoi c'est pas pratique,I would like to know why it's not convenient,[sound:rec1646923104.mp3],,,sushi,4,6,Nga_Fr_Lessons-004-006,Nga::Fr::Lessons::004</v>
      </c>
    </row>
    <row r="53" spans="1:1" x14ac:dyDescent="0.25">
      <c r="A53" t="str">
        <f>Anki!A54&amp;","&amp;Anki!B54&amp;","&amp;Anki!C54&amp;","&amp;Anki!D54&amp;","&amp;Anki!E54&amp;","&amp;Anki!F54&amp;","&amp;Anki!G54&amp;","&amp;Anki!H54&amp;","&amp;Anki!I54&amp;","&amp;Anki!J54</f>
        <v>Pourquoi tu as preparé le diné?,Why have you prepared the coffee?,[sound:rec1646923112.mp3],,,,4,7,Nga_Fr_Lessons-004-007,Nga::Fr::Lessons::004</v>
      </c>
    </row>
    <row r="54" spans="1:1" x14ac:dyDescent="0.25">
      <c r="A54" t="str">
        <f>Anki!A55&amp;","&amp;Anki!B55&amp;","&amp;Anki!C55&amp;","&amp;Anki!D55&amp;","&amp;Anki!E55&amp;","&amp;Anki!F55&amp;","&amp;Anki!G55&amp;","&amp;Anki!H55&amp;","&amp;Anki!I55&amp;","&amp;Anki!J55</f>
        <v>Tu as préparé le café?,Have you prepared the coffee?,[sound:rec1646923117.mp3],,,Inf., 1,4,8,Nga_Fr_Lessons-004-008,Nga::Fr::Lessons::004</v>
      </c>
    </row>
    <row r="55" spans="1:1" x14ac:dyDescent="0.25">
      <c r="A55" t="str">
        <f>Anki!A56&amp;","&amp;Anki!B56&amp;","&amp;Anki!C56&amp;","&amp;Anki!D56&amp;","&amp;Anki!E56&amp;","&amp;Anki!F56&amp;","&amp;Anki!G56&amp;","&amp;Anki!H56&amp;","&amp;Anki!I56&amp;","&amp;Anki!J56</f>
        <v>Tu n'as pas préparé le café?,Haven't you prepared the coffee?,[sound:rec1646923122.mp3],,,Inf., 1, sandwich,4,9,Nga_Fr_Lessons-004-009,Nga::Fr::Lessons::004</v>
      </c>
    </row>
    <row r="56" spans="1:1" x14ac:dyDescent="0.25">
      <c r="A56" t="str">
        <f>Anki!A57&amp;","&amp;Anki!B57&amp;","&amp;Anki!C57&amp;","&amp;Anki!D57&amp;","&amp;Anki!E57&amp;","&amp;Anki!F57&amp;","&amp;Anki!G57&amp;","&amp;Anki!H57&amp;","&amp;Anki!I57&amp;","&amp;Anki!J57</f>
        <v>Tu as pas préparé le café?,Haven't you prepared the coffee?,[sound:rec1646923127.mp3],,,Inf., 1, sushi,4,10,Nga_Fr_Lessons-004-010,Nga::Fr::Lessons::004</v>
      </c>
    </row>
    <row r="57" spans="1:1" x14ac:dyDescent="0.25">
      <c r="A57" t="str">
        <f>Anki!A58&amp;","&amp;Anki!B58&amp;","&amp;Anki!C58&amp;","&amp;Anki!D58&amp;","&amp;Anki!E58&amp;","&amp;Anki!F58&amp;","&amp;Anki!G58&amp;","&amp;Anki!H58&amp;","&amp;Anki!I58&amp;","&amp;Anki!J58</f>
        <v>Je voudrais savoir pourquoi tu n'as pas préparé le café,I would like to know why you haven't prepared the coffee,[sound:rec1646923135.mp3],,,sandwich,4,11,Nga_Fr_Lessons-004-011,Nga::Fr::Lessons::004</v>
      </c>
    </row>
    <row r="58" spans="1:1" x14ac:dyDescent="0.25">
      <c r="A58" t="str">
        <f>Anki!A59&amp;","&amp;Anki!B59&amp;","&amp;Anki!C59&amp;","&amp;Anki!D59&amp;","&amp;Anki!E59&amp;","&amp;Anki!F59&amp;","&amp;Anki!G59&amp;","&amp;Anki!H59&amp;","&amp;Anki!I59&amp;","&amp;Anki!J59</f>
        <v>J'ai faim, pourquoi tu as pas préparé le diné?,I'm hungry, why haven't you prepare dthe dinner?,[sound:rec1646923143.mp3],,,sushi,4,12,Nga_Fr_Lessons-004-012,Nga::Fr::Lessons::004</v>
      </c>
    </row>
    <row r="59" spans="1:1" x14ac:dyDescent="0.25">
      <c r="A59" t="str">
        <f>Anki!A60&amp;","&amp;Anki!B60&amp;","&amp;Anki!C60&amp;","&amp;Anki!D60&amp;","&amp;Anki!E60&amp;","&amp;Anki!F60&amp;","&amp;Anki!G60&amp;","&amp;Anki!H60&amp;","&amp;Anki!I60&amp;","&amp;Anki!J60</f>
        <v>Je n'ai pas visité Paris,I haven't visited Paris,[sound:rec1646923150.mp3],,,sandwich,4,13,Nga_Fr_Lessons-004-013,Nga::Fr::Lessons::004</v>
      </c>
    </row>
    <row r="60" spans="1:1" x14ac:dyDescent="0.25">
      <c r="A60" t="str">
        <f>Anki!A61&amp;","&amp;Anki!B61&amp;","&amp;Anki!C61&amp;","&amp;Anki!D61&amp;","&amp;Anki!E61&amp;","&amp;Anki!F61&amp;","&amp;Anki!G61&amp;","&amp;Anki!H61&amp;","&amp;Anki!I61&amp;","&amp;Anki!J61</f>
        <v>Je n'ai pas invité Jean au ciné(ma),I haven't invited Jean to the cinema,[sound:rec1646923161.mp3],,,sandwich,4,14,Nga_Fr_Lessons-004-014,Nga::Fr::Lessons::004</v>
      </c>
    </row>
    <row r="61" spans="1:1" x14ac:dyDescent="0.25">
      <c r="A61" t="str">
        <f>Anki!A62&amp;","&amp;Anki!B62&amp;","&amp;Anki!C62&amp;","&amp;Anki!D62&amp;","&amp;Anki!E62&amp;","&amp;Anki!F62&amp;","&amp;Anki!G62&amp;","&amp;Anki!H62&amp;","&amp;Anki!I62&amp;","&amp;Anki!J62</f>
        <v>J'ai pas préparé le café, désolé,I haven't prepared the coffee, sorry,[sound:rec1646923168.mp3],,,sushi,4,15,Nga_Fr_Lessons-004-015,Nga::Fr::Lessons::004</v>
      </c>
    </row>
    <row r="62" spans="1:1" x14ac:dyDescent="0.25">
      <c r="A62" t="str">
        <f>Anki!A63&amp;","&amp;Anki!B63&amp;","&amp;Anki!C63&amp;","&amp;Anki!D63&amp;","&amp;Anki!E63&amp;","&amp;Anki!F63&amp;","&amp;Anki!G63&amp;","&amp;Anki!H63&amp;","&amp;Anki!I63&amp;","&amp;Anki!J63</f>
        <v>Désolé, mais j'ai pas préparé le café,Sorry, but I haven't prepared the coffee,[sound:rec1646923173.mp3],,,sushi,4,16,Nga_Fr_Lessons-004-016,Nga::Fr::Lessons::004</v>
      </c>
    </row>
    <row r="63" spans="1:1" x14ac:dyDescent="0.25">
      <c r="A63" t="str">
        <f>Anki!A64&amp;","&amp;Anki!B64&amp;","&amp;Anki!C64&amp;","&amp;Anki!D64&amp;","&amp;Anki!E64&amp;","&amp;Anki!F64&amp;","&amp;Anki!G64&amp;","&amp;Anki!H64&amp;","&amp;Anki!I64&amp;","&amp;Anki!J64</f>
        <v>Français,French,[sound:rec1646923188.mp3],,,,4,17,Nga_Fr_Lessons-004-017,Nga::Fr::Lessons::004</v>
      </c>
    </row>
    <row r="64" spans="1:1" x14ac:dyDescent="0.25">
      <c r="A64" t="str">
        <f>Anki!A65&amp;","&amp;Anki!B65&amp;","&amp;Anki!C65&amp;","&amp;Anki!D65&amp;","&amp;Anki!E65&amp;","&amp;Anki!F65&amp;","&amp;Anki!G65&amp;","&amp;Anki!H65&amp;","&amp;Anki!I65&amp;","&amp;Anki!J65</f>
        <v>Désolé, mais j'ai pas réservé une table au restau Français,Sorry, but I haven't booked a table at the French restaurant,[sound:rec1646923199.mp3],,,sushi,4,18,Nga_Fr_Lessons-004-018,Nga::Fr::Lessons::004</v>
      </c>
    </row>
    <row r="65" spans="1:1" x14ac:dyDescent="0.25">
      <c r="A65" t="str">
        <f>Anki!A66&amp;","&amp;Anki!B66&amp;","&amp;Anki!C66&amp;","&amp;Anki!D66&amp;","&amp;Anki!E66&amp;","&amp;Anki!F66&amp;","&amp;Anki!G66&amp;","&amp;Anki!H66&amp;","&amp;Anki!I66&amp;","&amp;Anki!J66</f>
        <v>Je voudrais le préparer,I would like to prepare it,[sound:rec1649342595.mp3],,,,5,1,Nga_Fr_Lessons-005-001,Nga::Fr::Lessons::005</v>
      </c>
    </row>
    <row r="66" spans="1:1" x14ac:dyDescent="0.25">
      <c r="A66" t="str">
        <f>Anki!A67&amp;","&amp;Anki!B67&amp;","&amp;Anki!C67&amp;","&amp;Anki!D67&amp;","&amp;Anki!E67&amp;","&amp;Anki!F67&amp;","&amp;Anki!G67&amp;","&amp;Anki!H67&amp;","&amp;Anki!I67&amp;","&amp;Anki!J67</f>
        <v>Je peux préparer le diner,I can prepare the dinner,[sound:rec1649342601.mp3],,,,5,2,Nga_Fr_Lessons-005-002,Nga::Fr::Lessons::005</v>
      </c>
    </row>
    <row r="67" spans="1:1" x14ac:dyDescent="0.25">
      <c r="A67" t="str">
        <f>Anki!A68&amp;","&amp;Anki!B68&amp;","&amp;Anki!C68&amp;","&amp;Anki!D68&amp;","&amp;Anki!E68&amp;","&amp;Anki!F68&amp;","&amp;Anki!G68&amp;","&amp;Anki!H68&amp;","&amp;Anki!I68&amp;","&amp;Anki!J68</f>
        <v>Je peux le préparer,I can prepare it,[sound:rec1649342606.mp3],,,,5,3,Nga_Fr_Lessons-005-003,Nga::Fr::Lessons::005</v>
      </c>
    </row>
    <row r="68" spans="1:1" x14ac:dyDescent="0.25">
      <c r="A68" t="str">
        <f>Anki!A69&amp;","&amp;Anki!B69&amp;","&amp;Anki!C69&amp;","&amp;Anki!D69&amp;","&amp;Anki!E69&amp;","&amp;Anki!F69&amp;","&amp;Anki!G69&amp;","&amp;Anki!H69&amp;","&amp;Anki!I69&amp;","&amp;Anki!J69</f>
        <v>Elle peux le manger,She can eat it,[sound:rec1649342614.mp3],,,,5,4,Nga_Fr_Lessons-005-004,Nga::Fr::Lessons::005</v>
      </c>
    </row>
    <row r="69" spans="1:1" x14ac:dyDescent="0.25">
      <c r="A69" t="str">
        <f>Anki!A70&amp;","&amp;Anki!B70&amp;","&amp;Anki!C70&amp;","&amp;Anki!D70&amp;","&amp;Anki!E70&amp;","&amp;Anki!F70&amp;","&amp;Anki!G70&amp;","&amp;Anki!H70&amp;","&amp;Anki!I70&amp;","&amp;Anki!J70</f>
        <v>Elle peut le faire aujourd'hui,She can do it today,[sound:rec1649342630.mp3],,,,5,5,Nga_Fr_Lessons-005-005,Nga::Fr::Lessons::005</v>
      </c>
    </row>
    <row r="70" spans="1:1" x14ac:dyDescent="0.25">
      <c r="A70" t="str">
        <f>Anki!A71&amp;","&amp;Anki!B71&amp;","&amp;Anki!C71&amp;","&amp;Anki!D71&amp;","&amp;Anki!E71&amp;","&amp;Anki!F71&amp;","&amp;Anki!G71&amp;","&amp;Anki!H71&amp;","&amp;Anki!I71&amp;","&amp;Anki!J71</f>
        <v>Tu peux le faire demain,You can do it tomorrow,[sound:rec1649342641.mp3],,,tu,5,6,Nga_Fr_Lessons-005-006,Nga::Fr::Lessons::005</v>
      </c>
    </row>
    <row r="71" spans="1:1" x14ac:dyDescent="0.25">
      <c r="A71" t="str">
        <f>Anki!A72&amp;","&amp;Anki!B72&amp;","&amp;Anki!C72&amp;","&amp;Anki!D72&amp;","&amp;Anki!E72&amp;","&amp;Anki!F72&amp;","&amp;Anki!G72&amp;","&amp;Anki!H72&amp;","&amp;Anki!I72&amp;","&amp;Anki!J72</f>
        <v>Est-ce que tu peux le faire aujourd'hui?,Can you do it today?,[sound:rec1649342647.mp3],[sound:rec1649342757.mp3],,tu, 3,5,7,Nga_Fr_Lessons-005-007,Nga::Fr::Lessons::005</v>
      </c>
    </row>
    <row r="72" spans="1:1" x14ac:dyDescent="0.25">
      <c r="A72" t="str">
        <f>Anki!A73&amp;","&amp;Anki!B73&amp;","&amp;Anki!C73&amp;","&amp;Anki!D73&amp;","&amp;Anki!E73&amp;","&amp;Anki!F73&amp;","&amp;Anki!G73&amp;","&amp;Anki!H73&amp;","&amp;Anki!I73&amp;","&amp;Anki!J73</f>
        <v>Je peux pas le manger,I cannot eat it,[sound:rec1649342652.mp3],,,,5,8,Nga_Fr_Lessons-005-008,Nga::Fr::Lessons::005</v>
      </c>
    </row>
    <row r="73" spans="1:1" x14ac:dyDescent="0.25">
      <c r="A73" t="str">
        <f>Anki!A74&amp;","&amp;Anki!B74&amp;","&amp;Anki!C74&amp;","&amp;Anki!D74&amp;","&amp;Anki!E74&amp;","&amp;Anki!F74&amp;","&amp;Anki!G74&amp;","&amp;Anki!H74&amp;","&amp;Anki!I74&amp;","&amp;Anki!J74</f>
        <v>Je peux pas le faire,I cannot do it,[sound:rec1649342657.mp3],,,,5,9,Nga_Fr_Lessons-005-009,Nga::Fr::Lessons::005</v>
      </c>
    </row>
    <row r="74" spans="1:1" x14ac:dyDescent="0.25">
      <c r="A74" t="str">
        <f>Anki!A75&amp;","&amp;Anki!B75&amp;","&amp;Anki!C75&amp;","&amp;Anki!D75&amp;","&amp;Anki!E75&amp;","&amp;Anki!F75&amp;","&amp;Anki!G75&amp;","&amp;Anki!H75&amp;","&amp;Anki!I75&amp;","&amp;Anki!J75</f>
        <v>On ne peut pas le manger aujourd'hui,We cannot eat it today,[sound:rec1649342663.mp3],[sound:rec1649342766.mp3],,on,5,10,Nga_Fr_Lessons-005-010,Nga::Fr::Lessons::005</v>
      </c>
    </row>
    <row r="75" spans="1:1" x14ac:dyDescent="0.25">
      <c r="A75" t="str">
        <f>Anki!A76&amp;","&amp;Anki!B76&amp;","&amp;Anki!C76&amp;","&amp;Anki!D76&amp;","&amp;Anki!E76&amp;","&amp;Anki!F76&amp;","&amp;Anki!G76&amp;","&amp;Anki!H76&amp;","&amp;Anki!I76&amp;","&amp;Anki!J76</f>
        <v>Je peux comprendre,I can understand,[sound:rec1649342667.mp3],,,,5,11,Nga_Fr_Lessons-005-011,Nga::Fr::Lessons::005</v>
      </c>
    </row>
    <row r="76" spans="1:1" x14ac:dyDescent="0.25">
      <c r="A76" t="str">
        <f>Anki!A77&amp;","&amp;Anki!B77&amp;","&amp;Anki!C77&amp;","&amp;Anki!D77&amp;","&amp;Anki!E77&amp;","&amp;Anki!F77&amp;","&amp;Anki!G77&amp;","&amp;Anki!H77&amp;","&amp;Anki!I77&amp;","&amp;Anki!J77</f>
        <v>Tu peux me comprendre?,Can you understand me?,[sound:rec1649342672.mp3],[sound:rec1649342773.mp3],,tu, 1,5,12,Nga_Fr_Lessons-005-012,Nga::Fr::Lessons::005</v>
      </c>
    </row>
    <row r="77" spans="1:1" x14ac:dyDescent="0.25">
      <c r="A77" t="str">
        <f>Anki!A78&amp;","&amp;Anki!B78&amp;","&amp;Anki!C78&amp;","&amp;Anki!D78&amp;","&amp;Anki!E78&amp;","&amp;Anki!F78&amp;","&amp;Anki!G78&amp;","&amp;Anki!H78&amp;","&amp;Anki!I78&amp;","&amp;Anki!J78</f>
        <v>Oui, je peux te comprendre!,Yes, I can understand you!,[sound:rec1649342677.mp3],,,tu,5,13,Nga_Fr_Lessons-005-013,Nga::Fr::Lessons::005</v>
      </c>
    </row>
    <row r="78" spans="1:1" x14ac:dyDescent="0.25">
      <c r="A78" t="str">
        <f>Anki!A79&amp;","&amp;Anki!B79&amp;","&amp;Anki!C79&amp;","&amp;Anki!D79&amp;","&amp;Anki!E79&amp;","&amp;Anki!F79&amp;","&amp;Anki!G79&amp;","&amp;Anki!H79&amp;","&amp;Anki!I79&amp;","&amp;Anki!J79</f>
        <v>Je peux le comprendre (it or him),I can understand it/him,[sound:rec1649342682.mp3],,,,5,14,Nga_Fr_Lessons-005-014,Nga::Fr::Lessons::005</v>
      </c>
    </row>
    <row r="79" spans="1:1" x14ac:dyDescent="0.25">
      <c r="A79" t="str">
        <f>Anki!A80&amp;","&amp;Anki!B80&amp;","&amp;Anki!C80&amp;","&amp;Anki!D80&amp;","&amp;Anki!E80&amp;","&amp;Anki!F80&amp;","&amp;Anki!G80&amp;","&amp;Anki!H80&amp;","&amp;Anki!I80&amp;","&amp;Anki!J80</f>
        <v>Je peux la comprendre (her),I can understand her,[sound:rec1649342693.mp3],,,,5,15,Nga_Fr_Lessons-005-015,Nga::Fr::Lessons::005</v>
      </c>
    </row>
    <row r="80" spans="1:1" x14ac:dyDescent="0.25">
      <c r="A80" t="str">
        <f>Anki!A81&amp;","&amp;Anki!B81&amp;","&amp;Anki!C81&amp;","&amp;Anki!D81&amp;","&amp;Anki!E81&amp;","&amp;Anki!F81&amp;","&amp;Anki!G81&amp;","&amp;Anki!H81&amp;","&amp;Anki!I81&amp;","&amp;Anki!J81</f>
        <v>Un appartement,An appartment,[sound:rec1651022575.mp3],,,,6,1,Nga_Fr_Lessons-006-001,Nga::Fr::Lessons::006</v>
      </c>
    </row>
    <row r="81" spans="1:1" x14ac:dyDescent="0.25">
      <c r="A81" t="str">
        <f>Anki!A82&amp;","&amp;Anki!B82&amp;","&amp;Anki!C82&amp;","&amp;Anki!D82&amp;","&amp;Anki!E82&amp;","&amp;Anki!F82&amp;","&amp;Anki!G82&amp;","&amp;Anki!H82&amp;","&amp;Anki!I82&amp;","&amp;Anki!J82</f>
        <v>Elle a un appartement à Paris,She has a flat in Paris,[sound:rec1651022729.mp3],,,,6,2,Nga_Fr_Lessons-006-002,Nga::Fr::Lessons::006</v>
      </c>
    </row>
    <row r="82" spans="1:1" x14ac:dyDescent="0.25">
      <c r="A82" t="str">
        <f>Anki!A83&amp;","&amp;Anki!B83&amp;","&amp;Anki!C83&amp;","&amp;Anki!D83&amp;","&amp;Anki!E83&amp;","&amp;Anki!F83&amp;","&amp;Anki!G83&amp;","&amp;Anki!H83&amp;","&amp;Anki!I83&amp;","&amp;Anki!J83</f>
        <v>Elle peut voir tout Paris,She can see all of Paris,[sound:rec1651022738.mp3],,,,6,3,Nga_Fr_Lessons-006-003,Nga::Fr::Lessons::006</v>
      </c>
    </row>
    <row r="83" spans="1:1" x14ac:dyDescent="0.25">
      <c r="A83" t="str">
        <f>Anki!A84&amp;","&amp;Anki!B84&amp;","&amp;Anki!C84&amp;","&amp;Anki!D84&amp;","&amp;Anki!E84&amp;","&amp;Anki!F84&amp;","&amp;Anki!G84&amp;","&amp;Anki!H84&amp;","&amp;Anki!I84&amp;","&amp;Anki!J84</f>
        <v>C'est magnifique!,It's magnificent,[sound:rec1651022742.mp3],,,,6,4,Nga_Fr_Lessons-006-004,Nga::Fr::Lessons::006</v>
      </c>
    </row>
    <row r="84" spans="1:1" x14ac:dyDescent="0.25">
      <c r="A84" t="str">
        <f>Anki!A85&amp;","&amp;Anki!B85&amp;","&amp;Anki!C85&amp;","&amp;Anki!D85&amp;","&amp;Anki!E85&amp;","&amp;Anki!F85&amp;","&amp;Anki!G85&amp;","&amp;Anki!H85&amp;","&amp;Anki!I85&amp;","&amp;Anki!J85</f>
        <v>~ Et toi, tu as un grand appartement?
~ Non, j'ai un petit appartement,~ And you, do you have a big appartment?
~ No, I have a small appartment,[sound:rec1651022757.mp3],,,,6,5,Nga_Fr_Lessons-006-005,Nga::Fr::Lessons::006</v>
      </c>
    </row>
    <row r="85" spans="1:1" x14ac:dyDescent="0.25">
      <c r="A85" t="str">
        <f>Anki!A86&amp;","&amp;Anki!B86&amp;","&amp;Anki!C86&amp;","&amp;Anki!D86&amp;","&amp;Anki!E86&amp;","&amp;Anki!F86&amp;","&amp;Anki!G86&amp;","&amp;Anki!H86&amp;","&amp;Anki!I86&amp;","&amp;Anki!J86</f>
        <v>~ Je peux le voir?
~ Ouah, c'est magnifique!,~ Can I see it?
~ Wow, it's magnificent,[sound:rec1651022764.mp3],,,,6,6,Nga_Fr_Lessons-006-006,Nga::Fr::Lessons::006</v>
      </c>
    </row>
    <row r="86" spans="1:1" x14ac:dyDescent="0.25">
      <c r="A86" t="str">
        <f>Anki!A87&amp;","&amp;Anki!B87&amp;","&amp;Anki!C87&amp;","&amp;Anki!D87&amp;","&amp;Anki!E87&amp;","&amp;Anki!F87&amp;","&amp;Anki!G87&amp;","&amp;Anki!H87&amp;","&amp;Anki!I87&amp;","&amp;Anki!J87</f>
        <v>Tu peux me voir?,Can you see me?,[sound:rec1651022769.mp3],,,,6,7,Nga_Fr_Lessons-006-007,Nga::Fr::Lessons::006</v>
      </c>
    </row>
    <row r="87" spans="1:1" x14ac:dyDescent="0.25">
      <c r="A87" t="str">
        <f>Anki!A88&amp;","&amp;Anki!B88&amp;","&amp;Anki!C88&amp;","&amp;Anki!D88&amp;","&amp;Anki!E88&amp;","&amp;Anki!F88&amp;","&amp;Anki!G88&amp;","&amp;Anki!H88&amp;","&amp;Anki!I88&amp;","&amp;Anki!J88</f>
        <v>Il peut le voir,He can see it/him,[sound:rec1651022773.mp3],,,,6,8,Nga_Fr_Lessons-006-008,Nga::Fr::Lessons::006</v>
      </c>
    </row>
    <row r="88" spans="1:1" x14ac:dyDescent="0.25">
      <c r="A88" t="str">
        <f>Anki!A89&amp;","&amp;Anki!B89&amp;","&amp;Anki!C89&amp;","&amp;Anki!D89&amp;","&amp;Anki!E89&amp;","&amp;Anki!F89&amp;","&amp;Anki!G89&amp;","&amp;Anki!H89&amp;","&amp;Anki!I89&amp;","&amp;Anki!J89</f>
        <v>Ils peuvent le voir,They can see it/him,[sound:rec1651022777.mp3],,,,6,9,Nga_Fr_Lessons-006-009,Nga::Fr::Lessons::006</v>
      </c>
    </row>
    <row r="89" spans="1:1" x14ac:dyDescent="0.25">
      <c r="A89" t="str">
        <f>Anki!A90&amp;","&amp;Anki!B90&amp;","&amp;Anki!C90&amp;","&amp;Anki!D90&amp;","&amp;Anki!E90&amp;","&amp;Anki!F90&amp;","&amp;Anki!G90&amp;","&amp;Anki!H90&amp;","&amp;Anki!I90&amp;","&amp;Anki!J90</f>
        <v>On peut voir tout Paris,We can see all of Paris,[sound:rec1651022782.mp3],,,on,6,10,Nga_Fr_Lessons-006-010,Nga::Fr::Lessons::006</v>
      </c>
    </row>
    <row r="90" spans="1:1" x14ac:dyDescent="0.25">
      <c r="A90" t="str">
        <f>Anki!A91&amp;","&amp;Anki!B91&amp;","&amp;Anki!C91&amp;","&amp;Anki!D91&amp;","&amp;Anki!E91&amp;","&amp;Anki!F91&amp;","&amp;Anki!G91&amp;","&amp;Anki!H91&amp;","&amp;Anki!I91&amp;","&amp;Anki!J91</f>
        <v>~ Tu peux voir ma voiture?
~ Non, elle est où?
~ Ici, tu peux la voir?,~ Can you see my car?
~ No, where is it?
~ Here, can you see it?,[sound:rec1651022792.mp3],,,,6,11,Nga_Fr_Lessons-006-011,Nga::Fr::Lessons::006</v>
      </c>
    </row>
    <row r="91" spans="1:1" x14ac:dyDescent="0.25">
      <c r="A91" t="str">
        <f>Anki!A92&amp;","&amp;Anki!B92&amp;","&amp;Anki!C92&amp;","&amp;Anki!D92&amp;","&amp;Anki!E92&amp;","&amp;Anki!F92&amp;","&amp;Anki!G92&amp;","&amp;Anki!H92&amp;","&amp;Anki!I92&amp;","&amp;Anki!J92</f>
        <v>~ Tu peux voir le restau?
~ Non, il est où?
~ Il est là-bas,~ Can you see the restaurant?
~ No, where is it?
~ It's over there,[sound:rec1651022801.mp3],,,,6,12,Nga_Fr_Lessons-006-012,Nga::Fr::Lessons::006</v>
      </c>
    </row>
    <row r="92" spans="1:1" x14ac:dyDescent="0.25">
      <c r="A92" t="str">
        <f>Anki!A93&amp;","&amp;Anki!B93&amp;","&amp;Anki!C93&amp;","&amp;Anki!D93&amp;","&amp;Anki!E93&amp;","&amp;Anki!F93&amp;","&amp;Anki!G93&amp;","&amp;Anki!H93&amp;","&amp;Anki!I93&amp;","&amp;Anki!J93</f>
        <v>On peut déjeuner là-bas,We can have lunch over there,[sound:rec1651022810.mp3],,,on,6,13,Nga_Fr_Lessons-006-013,Nga::Fr::Lessons::006</v>
      </c>
    </row>
    <row r="93" spans="1:1" x14ac:dyDescent="0.25">
      <c r="A93" t="str">
        <f>Anki!A94&amp;","&amp;Anki!B94&amp;","&amp;Anki!C94&amp;","&amp;Anki!D94&amp;","&amp;Anki!E94&amp;","&amp;Anki!F94&amp;","&amp;Anki!G94&amp;","&amp;Anki!H94&amp;","&amp;Anki!I94&amp;","&amp;Anki!J94</f>
        <v>~ Maintenant?
~ Non, pas maintenant!,~ Now?
~ No, not now!,[sound:rec1651022823.mp3],,,,6,14,Nga_Fr_Lessons-006-014,Nga::Fr::Lessons::006</v>
      </c>
    </row>
    <row r="94" spans="1:1" x14ac:dyDescent="0.25">
      <c r="A94" t="str">
        <f>Anki!A95&amp;","&amp;Anki!B95&amp;","&amp;Anki!C95&amp;","&amp;Anki!D95&amp;","&amp;Anki!E95&amp;","&amp;Anki!F95&amp;","&amp;Anki!G95&amp;","&amp;Anki!H95&amp;","&amp;Anki!I95&amp;","&amp;Anki!J95</f>
        <v>Maintenant, on peut prendre le petit-déjeuner,Now, we can have breakfast,[sound:rec1651022829.mp3],,,on,6,15,Nga_Fr_Lessons-006-015,Nga::Fr::Lessons::006</v>
      </c>
    </row>
    <row r="95" spans="1:1" x14ac:dyDescent="0.25">
      <c r="A95" t="str">
        <f>Anki!A96&amp;","&amp;Anki!B96&amp;","&amp;Anki!C96&amp;","&amp;Anki!D96&amp;","&amp;Anki!E96&amp;","&amp;Anki!F96&amp;","&amp;Anki!G96&amp;","&amp;Anki!H96&amp;","&amp;Anki!I96&amp;","&amp;Anki!J96</f>
        <v>C'est délicieux!,It's delicious!,[sound:rec1651022833.mp3],,,,6,16,Nga_Fr_Lessons-006-016,Nga::Fr::Lessons::006</v>
      </c>
    </row>
    <row r="96" spans="1:1" x14ac:dyDescent="0.25">
      <c r="A96" t="str">
        <f>Anki!A97&amp;","&amp;Anki!B97&amp;","&amp;Anki!C97&amp;","&amp;Anki!D97&amp;","&amp;Anki!E97&amp;","&amp;Anki!F97&amp;","&amp;Anki!G97&amp;","&amp;Anki!H97&amp;","&amp;Anki!I97&amp;","&amp;Anki!J97</f>
        <v>Le retaurant, en France, c'est délicieux, mais c'est très cher!,Restaurants in France are delicious, but very expensive,[sound:rec1651801485.mp3],,,,7,1,Nga_Fr_Lessons-007-001,Nga::Fr::Lessons::007</v>
      </c>
    </row>
    <row r="97" spans="1:1" x14ac:dyDescent="0.25">
      <c r="A97" t="str">
        <f>Anki!A98&amp;","&amp;Anki!B98&amp;","&amp;Anki!C98&amp;","&amp;Anki!D98&amp;","&amp;Anki!E98&amp;","&amp;Anki!F98&amp;","&amp;Anki!G98&amp;","&amp;Anki!H98&amp;","&amp;Anki!I98&amp;","&amp;Anki!J98</f>
        <v>Tu as acheté à manger avec ton amie,You have bought some food with your friend,[sound:rec1651801502.mp3],,,tu,7,2,Nga_Fr_Lessons-007-002,Nga::Fr::Lessons::007</v>
      </c>
    </row>
    <row r="98" spans="1:1" x14ac:dyDescent="0.25">
      <c r="A98" t="str">
        <f>Anki!A99&amp;","&amp;Anki!B99&amp;","&amp;Anki!C99&amp;","&amp;Anki!D99&amp;","&amp;Anki!E99&amp;","&amp;Anki!F99&amp;","&amp;Anki!G99&amp;","&amp;Anki!H99&amp;","&amp;Anki!I99&amp;","&amp;Anki!J99</f>
        <v>Tu as diné avec ton amie,You had diner with your friend,[sound:rec1651801516.mp3],,,tu,7,3,Nga_Fr_Lessons-007-003,Nga::Fr::Lessons::007</v>
      </c>
    </row>
    <row r="99" spans="1:1" x14ac:dyDescent="0.25">
      <c r="A99" t="str">
        <f>Anki!A100&amp;","&amp;Anki!B100&amp;","&amp;Anki!C100&amp;","&amp;Anki!D100&amp;","&amp;Anki!E100&amp;","&amp;Anki!F100&amp;","&amp;Anki!G100&amp;","&amp;Anki!H100&amp;","&amp;Anki!I100&amp;","&amp;Anki!J100</f>
        <v>Ce soir, vous avez mangé à la maison,Tonight, you had diner at home,[sound:rec1651801523.mp3],,,vous,7,4,Nga_Fr_Lessons-007-004,Nga::Fr::Lessons::007</v>
      </c>
    </row>
    <row r="100" spans="1:1" x14ac:dyDescent="0.25">
      <c r="A100" t="str">
        <f>Anki!A101&amp;","&amp;Anki!B101&amp;","&amp;Anki!C101&amp;","&amp;Anki!D101&amp;","&amp;Anki!E101&amp;","&amp;Anki!F101&amp;","&amp;Anki!G101&amp;","&amp;Anki!H101&amp;","&amp;Anki!I101&amp;","&amp;Anki!J101</f>
        <v>~ Je peux préparer à manger pour toi
~ Super, merci!,~ Je peux préparer à manger pour toi
~ Super, merci!,[sound:rec1651801534.mp3],,,tu,7,5,Nga_Fr_Lessons-007-005,Nga::Fr::Lessons::007</v>
      </c>
    </row>
    <row r="101" spans="1:1" x14ac:dyDescent="0.25">
      <c r="A101" t="str">
        <f>Anki!A102&amp;","&amp;Anki!B102&amp;","&amp;Anki!C102&amp;","&amp;Anki!D102&amp;","&amp;Anki!E102&amp;","&amp;Anki!F102&amp;","&amp;Anki!G102&amp;","&amp;Anki!H102&amp;","&amp;Anki!I102&amp;","&amp;Anki!J102</f>
        <v>C'est quoi ça? Tu as un chien?,What is this? Do you have a dog?,[sound:rec1651801542.mp3],,,tu,7,6,Nga_Fr_Lessons-007-006,Nga::Fr::Lessons::007</v>
      </c>
    </row>
    <row r="102" spans="1:1" x14ac:dyDescent="0.25">
      <c r="A102" t="str">
        <f>Anki!A103&amp;","&amp;Anki!B103&amp;","&amp;Anki!C103&amp;","&amp;Anki!D103&amp;","&amp;Anki!E103&amp;","&amp;Anki!F103&amp;","&amp;Anki!G103&amp;","&amp;Anki!H103&amp;","&amp;Anki!I103&amp;","&amp;Anki!J103</f>
        <v>Où est-il? Est-ce que je peux le voir?,Where is it? Can I see it?,[sound:rec1651801549.mp3],,,,7,7,Nga_Fr_Lessons-007-007,Nga::Fr::Lessons::007</v>
      </c>
    </row>
    <row r="103" spans="1:1" x14ac:dyDescent="0.25">
      <c r="A103" t="str">
        <f>Anki!A104&amp;","&amp;Anki!B104&amp;","&amp;Anki!C104&amp;","&amp;Anki!D104&amp;","&amp;Anki!E104&amp;","&amp;Anki!F104&amp;","&amp;Anki!G104&amp;","&amp;Anki!H104&amp;","&amp;Anki!I104&amp;","&amp;Anki!J104</f>
        <v>~ Il est ici
~ Oh, il est mignon !,~ It's here
~ Oh, it's so cute!,[sound:rec1651801557.mp3],,,,7,8,Nga_Fr_Lessons-007-008,Nga::Fr::Lessons::007</v>
      </c>
    </row>
    <row r="104" spans="1:1" x14ac:dyDescent="0.25">
      <c r="A104" t="str">
        <f>Anki!A105&amp;","&amp;Anki!B105&amp;","&amp;Anki!C105&amp;","&amp;Anki!D105&amp;","&amp;Anki!E105&amp;","&amp;Anki!F105&amp;","&amp;Anki!G105&amp;","&amp;Anki!H105&amp;","&amp;Anki!I105&amp;","&amp;Anki!J105</f>
        <v>~ C'est quoi son nom?
~ Son nom c'est Biscuit.,~ What's its name?
~ Its name is Biscuit,[sound:rec1651801564.mp3],,,,7,9,Nga_Fr_Lessons-007-009,Nga::Fr::Lessons::007</v>
      </c>
    </row>
    <row r="105" spans="1:1" x14ac:dyDescent="0.25">
      <c r="A105" t="str">
        <f>Anki!A106&amp;","&amp;Anki!B106&amp;","&amp;Anki!C106&amp;","&amp;Anki!D106&amp;","&amp;Anki!E106&amp;","&amp;Anki!F106&amp;","&amp;Anki!G106&amp;","&amp;Anki!H106&amp;","&amp;Anki!I106&amp;","&amp;Anki!J106</f>
        <v>Salut Biscuit, moi c'est Nga, N-G-A.,Hi Biscuit, I'm Nga, N-G-A.,[sound:rec1651801574.mp3],,,,7,10,Nga_Fr_Lessons-007-010,Nga::Fr::Lessons::007</v>
      </c>
    </row>
    <row r="106" spans="1:1" x14ac:dyDescent="0.25">
      <c r="A106" t="str">
        <f>Anki!A107&amp;","&amp;Anki!B107&amp;","&amp;Anki!C107&amp;","&amp;Anki!D107&amp;","&amp;Anki!E107&amp;","&amp;Anki!F107&amp;","&amp;Anki!G107&amp;","&amp;Anki!H107&amp;","&amp;Anki!I107&amp;","&amp;Anki!J107</f>
        <v>~ Oh, c'est un nom exotique
~ Oui, c'est Vietnamien,~ Oh, that's an exotic name
~ Yes, it's Vietnamese,[sound:rec1651801586.mp3],,,,7,11,Nga_Fr_Lessons-007-011,Nga::Fr::Lessons::007</v>
      </c>
    </row>
    <row r="107" spans="1:1" x14ac:dyDescent="0.25">
      <c r="A107" t="str">
        <f>Anki!A108&amp;","&amp;Anki!B108&amp;","&amp;Anki!C108&amp;","&amp;Anki!D108&amp;","&amp;Anki!E108&amp;","&amp;Anki!F108&amp;","&amp;Anki!G108&amp;","&amp;Anki!H108&amp;","&amp;Anki!I108&amp;","&amp;Anki!J108</f>
        <v>Ton chien peux manger du chocolat?,Can you dog eat chocolate?,[sound:rec1651801595.mp3],,,tu,7,12,Nga_Fr_Lessons-007-012,Nga::Fr::Lessons::007</v>
      </c>
    </row>
    <row r="108" spans="1:1" x14ac:dyDescent="0.25">
      <c r="A108" t="str">
        <f>Anki!A109&amp;","&amp;Anki!B109&amp;","&amp;Anki!C109&amp;","&amp;Anki!D109&amp;","&amp;Anki!E109&amp;","&amp;Anki!F109&amp;","&amp;Anki!G109&amp;","&amp;Anki!H109&amp;","&amp;Anki!I109&amp;","&amp;Anki!J109</f>
        <v>~ Tu n'as pas faim?
~ Si, j'ai très faim,~ Are you not hungry?
~ Yes, I'm very hungry,[sound:rec1651801603.mp3],,,tu,7,13,Nga_Fr_Lessons-007-013,Nga::Fr::Lessons::007</v>
      </c>
    </row>
    <row r="109" spans="1:1" x14ac:dyDescent="0.25">
      <c r="A109" t="str">
        <f>Anki!A110&amp;","&amp;Anki!B110&amp;","&amp;Anki!C110&amp;","&amp;Anki!D110&amp;","&amp;Anki!E110&amp;","&amp;Anki!F110&amp;","&amp;Anki!G110&amp;","&amp;Anki!H110&amp;","&amp;Anki!I110&amp;","&amp;Anki!J110</f>
        <v>C'est dangereux,It's dangerous,[sound:rec1652370946.mp3],,,,8,1,Nga_Fr_Lessons-008-001,Nga::Fr::Lessons::008</v>
      </c>
    </row>
    <row r="110" spans="1:1" x14ac:dyDescent="0.25">
      <c r="A110" t="str">
        <f>Anki!A111&amp;","&amp;Anki!B111&amp;","&amp;Anki!C111&amp;","&amp;Anki!D111&amp;","&amp;Anki!E111&amp;","&amp;Anki!F111&amp;","&amp;Anki!G111&amp;","&amp;Anki!H111&amp;","&amp;Anki!I111&amp;","&amp;Anki!J111</f>
        <v>Ah, on peut acheter des croissants pour Biscuit,Ah, we can buy some croissants for Biscuit,[sound:rec1652370970.mp3],,,on,8,2,Nga_Fr_Lessons-008-002,Nga::Fr::Lessons::008</v>
      </c>
    </row>
    <row r="111" spans="1:1" x14ac:dyDescent="0.25">
      <c r="A111" t="str">
        <f>Anki!A112&amp;","&amp;Anki!B112&amp;","&amp;Anki!C112&amp;","&amp;Anki!D112&amp;","&amp;Anki!E112&amp;","&amp;Anki!F112&amp;","&amp;Anki!G112&amp;","&amp;Anki!H112&amp;","&amp;Anki!I112&amp;","&amp;Anki!J112</f>
        <v>On peut en acheter maintenant?,Can we buy some now?,[sound:rec1652370980.mp3],,,on,8,3,Nga_Fr_Lessons-008-003,Nga::Fr::Lessons::008</v>
      </c>
    </row>
    <row r="112" spans="1:1" x14ac:dyDescent="0.25">
      <c r="A112" t="str">
        <f>Anki!A113&amp;","&amp;Anki!B113&amp;","&amp;Anki!C113&amp;","&amp;Anki!D113&amp;","&amp;Anki!E113&amp;","&amp;Anki!F113&amp;","&amp;Anki!G113&amp;","&amp;Anki!H113&amp;","&amp;Anki!I113&amp;","&amp;Anki!J113</f>
        <v>~ Je peux en manger?
~ Oui, tu peux en manger, pas de probleme.,~ Can I eat some?
~ Yeah, you can eat some, no problem,[sound:rec1652370991.mp3],,,tu,8,4,Nga_Fr_Lessons-008-004,Nga::Fr::Lessons::008</v>
      </c>
    </row>
    <row r="113" spans="1:1" x14ac:dyDescent="0.25">
      <c r="A113" t="str">
        <f>Anki!A114&amp;","&amp;Anki!B114&amp;","&amp;Anki!C114&amp;","&amp;Anki!D114&amp;","&amp;Anki!E114&amp;","&amp;Anki!F114&amp;","&amp;Anki!G114&amp;","&amp;Anki!H114&amp;","&amp;Anki!I114&amp;","&amp;Anki!J114</f>
        <v>~ Il y a des chocolats a la maison.
~ Je veux en prendre.,~ There are chocolates at home.
~ I want to take some.,[sound:rec1652371016.mp3],,,,8,5,Nga_Fr_Lessons-008-005,Nga::Fr::Lessons::008</v>
      </c>
    </row>
    <row r="114" spans="1:1" x14ac:dyDescent="0.25">
      <c r="A114" t="str">
        <f>Anki!A115&amp;","&amp;Anki!B115&amp;","&amp;Anki!C115&amp;","&amp;Anki!D115&amp;","&amp;Anki!E115&amp;","&amp;Anki!F115&amp;","&amp;Anki!G115&amp;","&amp;Anki!H115&amp;","&amp;Anki!I115&amp;","&amp;Anki!J115</f>
        <v>~ Il y a du café?
~ Non, je veux en préprarer.,~ Is there coffee?
~ No, I want to prepare some.,[sound:rec1652371026.mp3],,,,8,6,Nga_Fr_Lessons-008-006,Nga::Fr::Lessons::008</v>
      </c>
    </row>
    <row r="115" spans="1:1" x14ac:dyDescent="0.25">
      <c r="A115" t="str">
        <f>Anki!A116&amp;","&amp;Anki!B116&amp;","&amp;Anki!C116&amp;","&amp;Anki!D116&amp;","&amp;Anki!E116&amp;","&amp;Anki!F116&amp;","&amp;Anki!G116&amp;","&amp;Anki!H116&amp;","&amp;Anki!I116&amp;","&amp;Anki!J116</f>
        <v>Je veux manger d'abord.,I want to eat first.,[sound:rec1652371035.mp3],,,,8,7,Nga_Fr_Lessons-008-007,Nga::Fr::Lessons::008</v>
      </c>
    </row>
    <row r="116" spans="1:1" x14ac:dyDescent="0.25">
      <c r="A116" t="str">
        <f>Anki!A117&amp;","&amp;Anki!B117&amp;","&amp;Anki!C117&amp;","&amp;Anki!D117&amp;","&amp;Anki!E117&amp;","&amp;Anki!F117&amp;","&amp;Anki!G117&amp;","&amp;Anki!H117&amp;","&amp;Anki!I117&amp;","&amp;Anki!J117</f>
        <v>~ Ah, tu as tres faim, c'est ca?
~ Exactement!,~ Ah, you're very hungry, right?
~ Exactly!,[sound:rec1652371042.mp3],,,tu,8,8,Nga_Fr_Lessons-008-008,Nga::Fr::Lessons::008</v>
      </c>
    </row>
    <row r="117" spans="1:1" x14ac:dyDescent="0.25">
      <c r="A117" t="str">
        <f>Anki!A118&amp;","&amp;Anki!B118&amp;","&amp;Anki!C118&amp;","&amp;Anki!D118&amp;","&amp;Anki!E118&amp;","&amp;Anki!F118&amp;","&amp;Anki!G118&amp;","&amp;Anki!H118&amp;","&amp;Anki!I118&amp;","&amp;Anki!J118</f>
        <v>Comment est le diné? C'est bon?,How is the dinner? Is it tasty?,[sound:rec1652371050.mp3],,,,8,9,Nga_Fr_Lessons-008-009,Nga::Fr::Lessons::008</v>
      </c>
    </row>
    <row r="118" spans="1:1" x14ac:dyDescent="0.25">
      <c r="A118" t="str">
        <f>Anki!A119&amp;","&amp;Anki!B119&amp;","&amp;Anki!C119&amp;","&amp;Anki!D119&amp;","&amp;Anki!E119&amp;","&amp;Anki!F119&amp;","&amp;Anki!G119&amp;","&amp;Anki!H119&amp;","&amp;Anki!I119&amp;","&amp;Anki!J119</f>
        <v>Le diné est parfait, merci!,The dinner is perfect, thanks!,[sound:rec1652371056.mp3],,,,8,10,Nga_Fr_Lessons-008-010,Nga::Fr::Lessons::008</v>
      </c>
    </row>
    <row r="119" spans="1:1" x14ac:dyDescent="0.25">
      <c r="A119" t="str">
        <f>Anki!A120&amp;","&amp;Anki!B120&amp;","&amp;Anki!C120&amp;","&amp;Anki!D120&amp;","&amp;Anki!E120&amp;","&amp;Anki!F120&amp;","&amp;Anki!G120&amp;","&amp;Anki!H120&amp;","&amp;Anki!I120&amp;","&amp;Anki!J120</f>
        <v>~ Tu veux prendre un verre?
~ Pourquoi pas! On peut discuter.,~ You want to have a drink?
~ Why not! We can chat.,[sound:rec1652371066.mp3],,,tu,8,11,Nga_Fr_Lessons-008-011,Nga::Fr::Lessons::008</v>
      </c>
    </row>
    <row r="120" spans="1:1" x14ac:dyDescent="0.25">
      <c r="A120" t="str">
        <f>Anki!A121&amp;","&amp;Anki!B121&amp;","&amp;Anki!C121&amp;","&amp;Anki!D121&amp;","&amp;Anki!E121&amp;","&amp;Anki!F121&amp;","&amp;Anki!G121&amp;","&amp;Anki!H121&amp;","&amp;Anki!I121&amp;","&amp;Anki!J121</f>
        <v>Je peux rester chez toi ce soir? C'est possible?,Can I stay at your place tonight? Is it possible?,[sound:rec1652371076.mp3],,,tu,8,12,Nga_Fr_Lessons-008-012,Nga::Fr::Lessons::008</v>
      </c>
    </row>
    <row r="121" spans="1:1" x14ac:dyDescent="0.25">
      <c r="A121" t="str">
        <f>Anki!A122&amp;","&amp;Anki!B122&amp;","&amp;Anki!C122&amp;","&amp;Anki!D122&amp;","&amp;Anki!E122&amp;","&amp;Anki!F122&amp;","&amp;Anki!G122&amp;","&amp;Anki!H122&amp;","&amp;Anki!I122&amp;","&amp;Anki!J122</f>
        <v>~ Est-ce que je peux dormir chez toi ce soir?
~ D'accord.,~ Can I sleep at your place tonight?
~ Alright.,[sound:rec1652371087.mp3],,,tu,8,13,Nga_Fr_Lessons-008-013,Nga::Fr::Lessons::008</v>
      </c>
    </row>
    <row r="122" spans="1:1" x14ac:dyDescent="0.25">
      <c r="A122" t="str">
        <f>Anki!A123&amp;","&amp;Anki!B123&amp;","&amp;Anki!C123&amp;","&amp;Anki!D123&amp;","&amp;Anki!E123&amp;","&amp;Anki!F123&amp;","&amp;Anki!G123&amp;","&amp;Anki!H123&amp;","&amp;Anki!I123&amp;","&amp;Anki!J123</f>
        <v>~ Où est ma chambre?
~ Elle est là-bas.,~ Where's my room?
~ It's over there.,[sound:rec1652371103.mp3],,,,8,14,Nga_Fr_Lessons-008-014,Nga::Fr::Lessons::008</v>
      </c>
    </row>
    <row r="123" spans="1:1" x14ac:dyDescent="0.25">
      <c r="A123" t="str">
        <f>Anki!A124&amp;","&amp;Anki!B124&amp;","&amp;Anki!C124&amp;","&amp;Anki!D124&amp;","&amp;Anki!E124&amp;","&amp;Anki!F124&amp;","&amp;Anki!G124&amp;","&amp;Anki!H124&amp;","&amp;Anki!I124&amp;","&amp;Anki!J124</f>
        <v>Je suis fatiguée. Je veux dormir maintenant.,I'm tired. I want to sleep now.,[sound:rec1652371111.mp3],,,f.,8,15,Nga_Fr_Lessons-008-015,Nga::Fr::Lessons::008</v>
      </c>
    </row>
    <row r="124" spans="1:1" x14ac:dyDescent="0.25">
      <c r="A124" t="str">
        <f>Anki!A125&amp;","&amp;Anki!B125&amp;","&amp;Anki!C125&amp;","&amp;Anki!D125&amp;","&amp;Anki!E125&amp;","&amp;Anki!F125&amp;","&amp;Anki!G125&amp;","&amp;Anki!H125&amp;","&amp;Anki!I125&amp;","&amp;Anki!J125</f>
        <v>Est-ce que tu veux prendre ta douche d'abord?,Do you want to take your shower first?,[sound:rec1652371125.mp3],,,tu,8,16,Nga_Fr_Lessons-008-016,Nga::Fr::Lessons::008</v>
      </c>
    </row>
    <row r="125" spans="1:1" x14ac:dyDescent="0.25">
      <c r="A125" t="str">
        <f>Anki!A126&amp;","&amp;Anki!B126&amp;","&amp;Anki!C126&amp;","&amp;Anki!D126&amp;","&amp;Anki!E126&amp;","&amp;Anki!F126&amp;","&amp;Anki!G126&amp;","&amp;Anki!H126&amp;","&amp;Anki!I126&amp;","&amp;Anki!J126</f>
        <v>Euh, non je vais attendre demain.,Hmm, no I'm gonna wait until tomorrow,[sound:rec1653017657.mp3],,,,9,1,Nga_Fr_Lessons-009-001,Nga::Fr::Lessons::009</v>
      </c>
    </row>
    <row r="126" spans="1:1" x14ac:dyDescent="0.25">
      <c r="A126" t="str">
        <f>Anki!A127&amp;","&amp;Anki!B127&amp;","&amp;Anki!C127&amp;","&amp;Anki!D127&amp;","&amp;Anki!E127&amp;","&amp;Anki!F127&amp;","&amp;Anki!G127&amp;","&amp;Anki!H127&amp;","&amp;Anki!I127&amp;","&amp;Anki!J127</f>
        <v>~ Où sont les toilettes?
~ Les toilettes sont là-bas, à droite.,~ Where are the toilets?
~ The toilets are over there, on the right.,[sound:rec1653017665.mp3],,,,9,2,Nga_Fr_Lessons-009-002,Nga::Fr::Lessons::009</v>
      </c>
    </row>
    <row r="127" spans="1:1" x14ac:dyDescent="0.25">
      <c r="A127" t="str">
        <f>Anki!A128&amp;","&amp;Anki!B128&amp;","&amp;Anki!C128&amp;","&amp;Anki!D128&amp;","&amp;Anki!E128&amp;","&amp;Anki!F128&amp;","&amp;Anki!G128&amp;","&amp;Anki!H128&amp;","&amp;Anki!I128&amp;","&amp;Anki!J128</f>
        <v>~ Bonne nuit
~ Toi aussi,~ Good night
~ You too,[sound:rec1653017672.mp3],,,tu,9,3,Nga_Fr_Lessons-009-003,Nga::Fr::Lessons::009</v>
      </c>
    </row>
    <row r="128" spans="1:1" x14ac:dyDescent="0.25">
      <c r="A128" t="str">
        <f>Anki!A129&amp;","&amp;Anki!B129&amp;","&amp;Anki!C129&amp;","&amp;Anki!D129&amp;","&amp;Anki!E129&amp;","&amp;Anki!F129&amp;","&amp;Anki!G129&amp;","&amp;Anki!H129&amp;","&amp;Anki!I129&amp;","&amp;Anki!J129</f>
        <v>~ Tu as bien dormi?
~ Oui, et toi?
~ Moi aussi,~Tu as bien dormi?
~ Oui, et toi?
~ Moi aussi,[sound:rec1653017680.mp3],,,tu,9,4,Nga_Fr_Lessons-009-004,Nga::Fr::Lessons::009</v>
      </c>
    </row>
    <row r="129" spans="1:1" x14ac:dyDescent="0.25">
      <c r="A129" t="str">
        <f>Anki!A130&amp;","&amp;Anki!B130&amp;","&amp;Anki!C130&amp;","&amp;Anki!D130&amp;","&amp;Anki!E130&amp;","&amp;Anki!F130&amp;","&amp;Anki!G130&amp;","&amp;Anki!H130&amp;","&amp;Anki!I130&amp;","&amp;Anki!J130</f>
        <v>Tu veux prendre ton petit-dej maintenant?,Do you want to have breakfast now?,[sound:rec1653017689.mp3],,,tu,9,5,Nga_Fr_Lessons-009-005,Nga::Fr::Lessons::009</v>
      </c>
    </row>
    <row r="130" spans="1:1" x14ac:dyDescent="0.25">
      <c r="A130" t="str">
        <f>Anki!A131&amp;","&amp;Anki!B131&amp;","&amp;Anki!C131&amp;","&amp;Anki!D131&amp;","&amp;Anki!E131&amp;","&amp;Anki!F131&amp;","&amp;Anki!G131&amp;","&amp;Anki!H131&amp;","&amp;Anki!I131&amp;","&amp;Anki!J131</f>
        <v>Oui, mais je dois prendre une douche d'abord ,Yes, but I have to take a shower first,[sound:rec1653017702.mp3],,,,9,6,Nga_Fr_Lessons-009-006,Nga::Fr::Lessons::009</v>
      </c>
    </row>
    <row r="131" spans="1:1" x14ac:dyDescent="0.25">
      <c r="A131" t="str">
        <f>Anki!A132&amp;","&amp;Anki!B132&amp;","&amp;Anki!C132&amp;","&amp;Anki!D132&amp;","&amp;Anki!E132&amp;","&amp;Anki!F132&amp;","&amp;Anki!G132&amp;","&amp;Anki!H132&amp;","&amp;Anki!I132&amp;","&amp;Anki!J132</f>
        <v>On doit discuter de la vie,We have to talk about life,[sound:rec1653017708.mp3],,,on, 'discuss',9,7,Nga_Fr_Lessons-009-007,Nga::Fr::Lessons::009</v>
      </c>
    </row>
    <row r="132" spans="1:1" x14ac:dyDescent="0.25">
      <c r="A132" t="str">
        <f>Anki!A133&amp;","&amp;Anki!B133&amp;","&amp;Anki!C133&amp;","&amp;Anki!D133&amp;","&amp;Anki!E133&amp;","&amp;Anki!F133&amp;","&amp;Anki!G133&amp;","&amp;Anki!H133&amp;","&amp;Anki!I133&amp;","&amp;Anki!J133</f>
        <v>Tu dois preparer du café,You have to prepare some coffee,[sound:rec1653017714.mp3],,,tu,9,8,Nga_Fr_Lessons-009-008,Nga::Fr::Lessons::009</v>
      </c>
    </row>
    <row r="133" spans="1:1" x14ac:dyDescent="0.25">
      <c r="A133" t="str">
        <f>Anki!A134&amp;","&amp;Anki!B134&amp;","&amp;Anki!C134&amp;","&amp;Anki!D134&amp;","&amp;Anki!E134&amp;","&amp;Anki!F134&amp;","&amp;Anki!G134&amp;","&amp;Anki!H134&amp;","&amp;Anki!I134&amp;","&amp;Anki!J134</f>
        <v>~ Je dois partir maintenant
~ Non, tu dois d'abord manger!,~ I have to leave now
~ No, you have to eat first!,[sound:rec1653017741.mp3],,,tu,9,9,Nga_Fr_Lessons-009-009,Nga::Fr::Lessons::009</v>
      </c>
    </row>
    <row r="134" spans="1:1" x14ac:dyDescent="0.25">
      <c r="A134" t="str">
        <f>Anki!A135&amp;","&amp;Anki!B135&amp;","&amp;Anki!C135&amp;","&amp;Anki!D135&amp;","&amp;Anki!E135&amp;","&amp;Anki!F135&amp;","&amp;Anki!G135&amp;","&amp;Anki!H135&amp;","&amp;Anki!I135&amp;","&amp;Anki!J135</f>
        <v>Tu dois manger avant de partir,You have to eat before leaving,[sound:rec1653017750.mp3],,,tu,9,10,Nga_Fr_Lessons-009-010,Nga::Fr::Lessons::009</v>
      </c>
    </row>
    <row r="135" spans="1:1" x14ac:dyDescent="0.25">
      <c r="A135" t="str">
        <f>Anki!A136&amp;","&amp;Anki!B136&amp;","&amp;Anki!C136&amp;","&amp;Anki!D136&amp;","&amp;Anki!E136&amp;","&amp;Anki!F136&amp;","&amp;Anki!G136&amp;","&amp;Anki!H136&amp;","&amp;Anki!I136&amp;","&amp;Anki!J136</f>
        <v>Je dois prendre une douche avant de dormir,I have to take a shower before leaving,[sound:rec1653017757.mp3],,,,9,11,Nga_Fr_Lessons-009-011,Nga::Fr::Lessons::009</v>
      </c>
    </row>
    <row r="136" spans="1:1" x14ac:dyDescent="0.25">
      <c r="A136" t="str">
        <f>Anki!A137&amp;","&amp;Anki!B137&amp;","&amp;Anki!C137&amp;","&amp;Anki!D137&amp;","&amp;Anki!E137&amp;","&amp;Anki!F137&amp;","&amp;Anki!G137&amp;","&amp;Anki!H137&amp;","&amp;Anki!I137&amp;","&amp;Anki!J137</f>
        <v>~ Tu veux boire du lait?
~ Non merci, j'en veux pas,~ Do you want to drink some milk?
~ No thanks, I don't want some,[sound:rec1653017765.mp3],[sound:rec1653017957.mp3],,,9,12,Nga_Fr_Lessons-009-012,Nga::Fr::Lessons::009</v>
      </c>
    </row>
    <row r="137" spans="1:1" x14ac:dyDescent="0.25">
      <c r="A137" t="str">
        <f>Anki!A138&amp;","&amp;Anki!B138&amp;","&amp;Anki!C138&amp;","&amp;Anki!D138&amp;","&amp;Anki!E138&amp;","&amp;Anki!F138&amp;","&amp;Anki!G138&amp;","&amp;Anki!H138&amp;","&amp;Anki!I138&amp;","&amp;Anki!J138</f>
        <v>~ Tu as du pain, stp?
~ Non, j'en ai pas achete,~ Do you have some bread please?
~ No, I haven't bought some,[sound:rec1653017778.mp3],[sound:rec1653017981.mp3],,,9,13,Nga_Fr_Lessons-009-013,Nga::Fr::Lessons::009</v>
      </c>
    </row>
    <row r="138" spans="1:1" x14ac:dyDescent="0.25">
      <c r="A138" t="str">
        <f>Anki!A139&amp;","&amp;Anki!B139&amp;","&amp;Anki!C139&amp;","&amp;Anki!D139&amp;","&amp;Anki!E139&amp;","&amp;Anki!F139&amp;","&amp;Anki!G139&amp;","&amp;Anki!H139&amp;","&amp;Anki!I139&amp;","&amp;Anki!J139</f>
        <v>~ Ah, et tu as du café?
~ Oui j'en ai, mais j'en ai pas preparé…,~ Oh, and do you have some coffee?
~ Yes I have some, but I haven't prepared it ('some')…,[sound:rec1653017788.mp3],[sound:rec1653018000.mp3],,,9,14,Nga_Fr_Lessons-009-014,Nga::Fr::Lessons::009</v>
      </c>
    </row>
    <row r="139" spans="1:1" x14ac:dyDescent="0.25">
      <c r="A139" t="str">
        <f>Anki!A140&amp;","&amp;Anki!B140&amp;","&amp;Anki!C140&amp;","&amp;Anki!D140&amp;","&amp;Anki!E140&amp;","&amp;Anki!F140&amp;","&amp;Anki!G140&amp;","&amp;Anki!H140&amp;","&amp;Anki!I140&amp;","&amp;Anki!J140</f>
        <v>C'est pas grave,No worries,[sound:rec1653017795.mp3],,,,9,15,Nga_Fr_Lessons-009-015,Nga::Fr::Lessons::009</v>
      </c>
    </row>
    <row r="140" spans="1:1" x14ac:dyDescent="0.25">
      <c r="A140" t="str">
        <f>Anki!A141&amp;","&amp;Anki!B141&amp;","&amp;Anki!C141&amp;","&amp;Anki!D141&amp;","&amp;Anki!E141&amp;","&amp;Anki!F141&amp;","&amp;Anki!G141&amp;","&amp;Anki!H141&amp;","&amp;Anki!I141&amp;","&amp;Anki!J141</f>
        <v>Je dois aller au Louvre maintenant,I have to go to the Louvre now,[sound:rec1653017800.mp3],,,,9,16,Nga_Fr_Lessons-009-016,Nga::Fr::Lessons::009</v>
      </c>
    </row>
    <row r="141" spans="1:1" x14ac:dyDescent="0.25">
      <c r="A141" t="str">
        <f>Anki!A142&amp;","&amp;Anki!B142&amp;","&amp;Anki!C142&amp;","&amp;Anki!D142&amp;","&amp;Anki!E142&amp;","&amp;Anki!F142&amp;","&amp;Anki!G142&amp;","&amp;Anki!H142&amp;","&amp;Anki!I142&amp;","&amp;Anki!J142</f>
        <v>Où est-ce que je peux prendre un taxi?,Where can I grab a taxi?,[sound:rec1653017809.mp3],,,,9,17,Nga_Fr_Lessons-009-017,Nga::Fr::Lessons::009</v>
      </c>
    </row>
    <row r="142" spans="1:1" x14ac:dyDescent="0.25">
      <c r="A142" t="str">
        <f>Anki!A143&amp;","&amp;Anki!B143&amp;","&amp;Anki!C143&amp;","&amp;Anki!D143&amp;","&amp;Anki!E143&amp;","&amp;Anki!F143&amp;","&amp;Anki!G143&amp;","&amp;Anki!H143&amp;","&amp;Anki!I143&amp;","&amp;Anki!J143</f>
        <v>~ Je peux appeler un taxi pour toi
~ Super, merci!,~ I can call a taxi for you
~ Awesome, thanks!,[sound:rec1653017818.mp3],,,,9,18,Nga_Fr_Lessons-009-018,Nga::Fr::Lessons::009</v>
      </c>
    </row>
    <row r="143" spans="1:1" x14ac:dyDescent="0.25">
      <c r="A143" t="str">
        <f>Anki!A144&amp;","&amp;Anki!B144&amp;","&amp;Anki!C144&amp;","&amp;Anki!D144&amp;","&amp;Anki!E144&amp;","&amp;Anki!F144&amp;","&amp;Anki!G144&amp;","&amp;Anki!H144&amp;","&amp;Anki!I144&amp;","&amp;Anki!J144</f>
        <v>Tu dois attendre le taxi 10 minutes,You to wait 10 minutes for the taxi,[sound:rec1653017826.mp3],,,tu,9,19,Nga_Fr_Lessons-009-019,Nga::Fr::Lessons::009</v>
      </c>
    </row>
    <row r="144" spans="1:1" x14ac:dyDescent="0.25">
      <c r="A144" t="str">
        <f>Anki!A145&amp;","&amp;Anki!B145&amp;","&amp;Anki!C145&amp;","&amp;Anki!D145&amp;","&amp;Anki!E145&amp;","&amp;Anki!F145&amp;","&amp;Anki!G145&amp;","&amp;Anki!H145&amp;","&amp;Anki!I145&amp;","&amp;Anki!J145</f>
        <v>~ Ok, et c'est combien?
~ C'est 10 euros,~ Okay, how much is it?
~ It's 10 euros,[sound:rec1653017833.mp3],,,,9,20,Nga_Fr_Lessons-009-020,Nga::Fr::Lessons::009</v>
      </c>
    </row>
    <row r="145" spans="1:1" x14ac:dyDescent="0.25">
      <c r="A145" t="str">
        <f>Anki!A146&amp;","&amp;Anki!B146&amp;","&amp;Anki!C146&amp;","&amp;Anki!D146&amp;","&amp;Anki!E146&amp;","&amp;Anki!F146&amp;","&amp;Anki!G146&amp;","&amp;Anki!H146&amp;","&amp;Anki!I146&amp;","&amp;Anki!J146</f>
        <v>~ D'accord, au revoir!
~ A plus tard!,~ Alright, bye!
~ See you later!,[sound:rec1653017840.mp3],,,,9,21,Nga_Fr_Lessons-009-021,Nga::Fr::Lessons::009</v>
      </c>
    </row>
  </sheetData>
  <mergeCells count="1">
    <mergeCell ref="G6:G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06D97-6F9D-4FB6-A698-14818CC9B4DD}">
  <dimension ref="B2:E8"/>
  <sheetViews>
    <sheetView zoomScale="110" zoomScaleNormal="110" workbookViewId="0">
      <selection activeCell="D10" sqref="D10"/>
    </sheetView>
  </sheetViews>
  <sheetFormatPr defaultRowHeight="15" x14ac:dyDescent="0.25"/>
  <cols>
    <col min="2" max="2" width="57.5703125" customWidth="1"/>
    <col min="3" max="3" width="60.28515625" customWidth="1"/>
    <col min="4" max="4" width="71" customWidth="1"/>
  </cols>
  <sheetData>
    <row r="2" spans="2:5" x14ac:dyDescent="0.25">
      <c r="B2" s="141" t="s">
        <v>914</v>
      </c>
      <c r="C2" s="141" t="s">
        <v>916</v>
      </c>
      <c r="D2" s="141" t="s">
        <v>920</v>
      </c>
      <c r="E2" s="141" t="s">
        <v>924</v>
      </c>
    </row>
    <row r="3" spans="2:5" x14ac:dyDescent="0.25">
      <c r="B3" t="s">
        <v>915</v>
      </c>
      <c r="C3" t="s">
        <v>910</v>
      </c>
      <c r="D3" t="s">
        <v>918</v>
      </c>
      <c r="E3" t="s">
        <v>911</v>
      </c>
    </row>
    <row r="4" spans="2:5" x14ac:dyDescent="0.25">
      <c r="C4" t="s">
        <v>917</v>
      </c>
      <c r="D4" t="s">
        <v>919</v>
      </c>
    </row>
    <row r="5" spans="2:5" x14ac:dyDescent="0.25">
      <c r="B5" t="s">
        <v>912</v>
      </c>
    </row>
    <row r="6" spans="2:5" x14ac:dyDescent="0.25">
      <c r="B6" t="s">
        <v>922</v>
      </c>
      <c r="C6" t="s">
        <v>921</v>
      </c>
      <c r="D6" t="s">
        <v>913</v>
      </c>
    </row>
    <row r="8" spans="2:5" x14ac:dyDescent="0.25">
      <c r="B8" t="s">
        <v>923</v>
      </c>
      <c r="C8" t="s">
        <v>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S1</vt:lpstr>
      <vt:lpstr>S2</vt:lpstr>
      <vt:lpstr>S3</vt:lpstr>
      <vt:lpstr>S4^</vt:lpstr>
      <vt:lpstr>S5</vt:lpstr>
      <vt:lpstr>S6</vt:lpstr>
      <vt:lpstr>S7</vt:lpstr>
      <vt:lpstr>S8</vt:lpstr>
      <vt:lpstr>S9</vt:lpstr>
      <vt:lpstr>S10</vt:lpstr>
      <vt:lpstr>Tests</vt:lpstr>
      <vt:lpstr>Anki</vt:lpstr>
      <vt:lpstr>Pivot_trial</vt:lpstr>
      <vt:lpstr>CSV trial</vt:lpstr>
      <vt:lpstr>NEXT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cp:lastModifiedBy>
  <dcterms:created xsi:type="dcterms:W3CDTF">2022-02-21T06:49:47Z</dcterms:created>
  <dcterms:modified xsi:type="dcterms:W3CDTF">2022-05-24T03:14:54Z</dcterms:modified>
</cp:coreProperties>
</file>